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ício" sheetId="1" state="visible" r:id="rId1"/>
    <sheet name="Lançamentos" sheetId="2" state="visible" r:id="rId2"/>
    <sheet name="Análises" sheetId="3" state="visible" r:id="rId3"/>
    <sheet name="Limites" sheetId="4" state="visible" r:id="rId4"/>
    <sheet name="Metas" sheetId="5" state="visible" r:id="rId5"/>
    <sheet name="Contas fixas" sheetId="6" state="visible" r:id="rId6"/>
    <sheet name="Dívidas" sheetId="7" state="visible" r:id="rId7"/>
    <sheet name="Racha" sheetId="8" state="visible" r:id="rId8"/>
    <sheet name="Confi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mmmm/yyyy"/>
    <numFmt numFmtId="166" formatCode="dd/mm/yyyy"/>
    <numFmt numFmtId="167" formatCode="R$ #,##0.00"/>
    <numFmt numFmtId="168" formatCode="0.00&quot;%&quot;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1E293B"/>
      <sz val="13"/>
    </font>
    <font>
      <name val="Calibri"/>
      <color rgb="0064748B"/>
      <sz val="10"/>
    </font>
    <font>
      <name val="Calibri"/>
      <b val="1"/>
      <color rgb="00F97316"/>
      <sz val="10"/>
    </font>
    <font>
      <color rgb="0064748B"/>
      <sz val="10"/>
    </font>
    <font>
      <b val="1"/>
      <color rgb="00F97316"/>
      <sz val="12"/>
    </font>
    <font>
      <i val="1"/>
      <color rgb="0064748B"/>
      <sz val="9"/>
    </font>
    <font>
      <color rgb="0064748B"/>
      <sz val="9"/>
    </font>
    <font>
      <name val="Calibri"/>
      <b val="1"/>
      <color rgb="00FFFFFF"/>
      <sz val="10"/>
    </font>
    <font>
      <sz val="10"/>
    </font>
    <font>
      <b val="1"/>
      <sz val="10"/>
    </font>
    <font>
      <color rgb="00E2E8F0"/>
      <sz val="8"/>
    </font>
    <font>
      <b val="1"/>
      <color rgb="001E293B"/>
      <sz val="10"/>
    </font>
    <font>
      <b val="1"/>
      <color rgb="001E293B"/>
      <sz val="14"/>
    </font>
    <font>
      <name val="Calibri"/>
      <b val="1"/>
      <color rgb="0064748B"/>
      <sz val="9"/>
    </font>
    <font>
      <name val="Calibri"/>
      <b val="1"/>
      <color rgb="00059669"/>
      <sz val="17"/>
    </font>
    <font>
      <name val="Calibri"/>
      <b val="1"/>
      <color rgb="00DC2626"/>
      <sz val="17"/>
    </font>
    <font>
      <name val="Calibri"/>
      <b val="1"/>
      <color rgb="001E293B"/>
      <sz val="17"/>
    </font>
    <font>
      <name val="Calibri"/>
      <b val="1"/>
      <color rgb="00F97316"/>
      <sz val="17"/>
    </font>
    <font>
      <b val="1"/>
      <color rgb="001E293B"/>
      <sz val="11"/>
    </font>
    <font>
      <name val="Calibri"/>
      <b val="1"/>
      <color rgb="00F97316"/>
      <sz val="11"/>
    </font>
    <font>
      <color rgb="00F97316"/>
      <sz val="10"/>
    </font>
    <font>
      <name val="Calibri"/>
      <b val="1"/>
      <sz val="10"/>
    </font>
    <font>
      <name val="Calibri"/>
      <b val="1"/>
      <color rgb="000EA5E9"/>
      <sz val="12"/>
    </font>
    <font>
      <color rgb="00059669"/>
      <sz val="10"/>
    </font>
    <font>
      <color rgb="00DC2626"/>
      <sz val="10"/>
    </font>
    <font>
      <name val="Calibri"/>
      <b val="1"/>
      <color rgb="000EA5E9"/>
      <sz val="11"/>
    </font>
    <font>
      <b val="1"/>
    </font>
    <font>
      <b val="1"/>
      <color rgb="00059669"/>
    </font>
    <font>
      <b val="1"/>
      <color rgb="00DC2626"/>
      <sz val="12"/>
    </font>
  </fonts>
  <fills count="1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EF3EC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E6F4F0"/>
      </patternFill>
    </fill>
    <fill>
      <patternFill patternType="solid">
        <fgColor rgb="00FBE9E9"/>
      </patternFill>
    </fill>
    <fill>
      <patternFill patternType="solid">
        <fgColor rgb="00E8E9EB"/>
      </patternFill>
    </fill>
    <fill>
      <patternFill patternType="solid">
        <fgColor rgb="00FEF1E7"/>
      </patternFill>
    </fill>
    <fill>
      <patternFill patternType="solid">
        <fgColor rgb="00EBF7FD"/>
      </patternFill>
    </fill>
    <fill>
      <patternFill patternType="solid">
        <fgColor rgb="00DAF1FB"/>
      </patternFill>
    </fill>
    <fill>
      <patternFill patternType="solid">
        <fgColor rgb="00FBF4EB"/>
      </patternFill>
    </fill>
    <fill>
      <patternFill patternType="solid">
        <fgColor rgb="00EBF6F3"/>
      </patternFill>
    </fill>
    <fill>
      <patternFill patternType="solid">
        <fgColor rgb="00F5F1FE"/>
      </patternFill>
    </fill>
    <fill>
      <patternFill patternType="solid">
        <fgColor rgb="00FCEDED"/>
      </patternFill>
    </fill>
    <fill>
      <patternFill patternType="solid">
        <fgColor rgb="00FEE2E2"/>
      </patternFill>
    </fill>
    <fill>
      <patternFill patternType="solid">
        <fgColor rgb="00EBF6F8"/>
      </patternFill>
    </fill>
  </fills>
  <borders count="19">
    <border>
      <left/>
      <right/>
      <top/>
      <bottom/>
      <diagonal/>
    </border>
    <border>
      <left style="thick">
        <color rgb="00F97316"/>
      </left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ck">
        <color rgb="00059669"/>
      </left>
      <top style="thin">
        <color rgb="00E2E8F0"/>
      </top>
    </border>
    <border>
      <right style="thin">
        <color rgb="00E2E8F0"/>
      </right>
      <top style="thin">
        <color rgb="00E2E8F0"/>
      </top>
    </border>
    <border>
      <left style="thick">
        <color rgb="00059669"/>
      </left>
      <bottom style="thin">
        <color rgb="00E2E8F0"/>
      </bottom>
    </border>
    <border>
      <right style="thin">
        <color rgb="00E2E8F0"/>
      </right>
      <bottom style="thin">
        <color rgb="00E2E8F0"/>
      </bottom>
    </border>
    <border>
      <left style="thick">
        <color rgb="00DC2626"/>
      </left>
      <top style="thin">
        <color rgb="00E2E8F0"/>
      </top>
    </border>
    <border>
      <left style="thick">
        <color rgb="00DC2626"/>
      </left>
      <bottom style="thin">
        <color rgb="00E2E8F0"/>
      </bottom>
    </border>
    <border>
      <left style="thick">
        <color rgb="001E293B"/>
      </left>
      <top style="thin">
        <color rgb="00E2E8F0"/>
      </top>
    </border>
    <border>
      <left style="thick">
        <color rgb="001E293B"/>
      </left>
      <bottom style="thin">
        <color rgb="00E2E8F0"/>
      </bottom>
    </border>
    <border>
      <left style="thick">
        <color rgb="00F97316"/>
      </left>
      <top style="thin">
        <color rgb="00E2E8F0"/>
      </top>
    </border>
    <border>
      <left style="thick">
        <color rgb="00F97316"/>
      </left>
      <bottom style="thin">
        <color rgb="00E2E8F0"/>
      </bottom>
    </border>
    <border>
      <left style="thick">
        <color rgb="000EA5E9"/>
      </left>
    </border>
    <border>
      <left style="thick">
        <color rgb="00D97706"/>
      </left>
    </border>
    <border>
      <left style="thick">
        <color rgb="00059669"/>
      </left>
    </border>
    <border>
      <left style="thick">
        <color rgb="008B5CF6"/>
      </left>
    </border>
    <border>
      <left style="thick">
        <color rgb="00DC2626"/>
      </left>
    </border>
    <border>
      <left style="thick">
        <color rgb="000891B2"/>
      </left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1" applyAlignment="1" pivotButton="0" quotePrefix="0" xfId="0">
      <alignment vertical="center" indent="1"/>
    </xf>
    <xf numFmtId="0" fontId="0" fillId="2" borderId="0" pivotButton="0" quotePrefix="0" xfId="0"/>
    <xf numFmtId="0" fontId="2" fillId="3" borderId="1" applyAlignment="1" pivotButton="0" quotePrefix="0" xfId="0">
      <alignment vertical="center" indent="1"/>
    </xf>
    <xf numFmtId="0" fontId="0" fillId="3" borderId="0" pivotButton="0" quotePrefix="0" xfId="0"/>
    <xf numFmtId="0" fontId="3" fillId="3" borderId="1" applyAlignment="1" pivotButton="0" quotePrefix="0" xfId="0">
      <alignment vertical="center" indent="1"/>
    </xf>
    <xf numFmtId="165" fontId="14" fillId="0" borderId="0" pivotButton="0" quotePrefix="0" xfId="0"/>
    <xf numFmtId="0" fontId="7" fillId="0" borderId="0" pivotButton="0" quotePrefix="0" xfId="0"/>
    <xf numFmtId="0" fontId="15" fillId="6" borderId="3" applyAlignment="1" pivotButton="0" quotePrefix="0" xfId="0">
      <alignment indent="2"/>
    </xf>
    <xf numFmtId="0" fontId="0" fillId="6" borderId="4" pivotButton="0" quotePrefix="0" xfId="0"/>
    <xf numFmtId="0" fontId="15" fillId="7" borderId="7" applyAlignment="1" pivotButton="0" quotePrefix="0" xfId="0">
      <alignment indent="2"/>
    </xf>
    <xf numFmtId="0" fontId="0" fillId="7" borderId="4" pivotButton="0" quotePrefix="0" xfId="0"/>
    <xf numFmtId="0" fontId="15" fillId="8" borderId="9" applyAlignment="1" pivotButton="0" quotePrefix="0" xfId="0">
      <alignment indent="2"/>
    </xf>
    <xf numFmtId="0" fontId="0" fillId="8" borderId="4" pivotButton="0" quotePrefix="0" xfId="0"/>
    <xf numFmtId="167" fontId="16" fillId="6" borderId="5" applyAlignment="1" pivotButton="0" quotePrefix="0" xfId="0">
      <alignment indent="2"/>
    </xf>
    <xf numFmtId="0" fontId="0" fillId="6" borderId="6" pivotButton="0" quotePrefix="0" xfId="0"/>
    <xf numFmtId="167" fontId="17" fillId="7" borderId="8" applyAlignment="1" pivotButton="0" quotePrefix="0" xfId="0">
      <alignment indent="2"/>
    </xf>
    <xf numFmtId="0" fontId="0" fillId="7" borderId="6" pivotButton="0" quotePrefix="0" xfId="0"/>
    <xf numFmtId="167" fontId="18" fillId="8" borderId="10" applyAlignment="1" pivotButton="0" quotePrefix="0" xfId="0">
      <alignment indent="2"/>
    </xf>
    <xf numFmtId="0" fontId="0" fillId="8" borderId="6" pivotButton="0" quotePrefix="0" xfId="0"/>
    <xf numFmtId="0" fontId="15" fillId="9" borderId="11" applyAlignment="1" pivotButton="0" quotePrefix="0" xfId="0">
      <alignment indent="2"/>
    </xf>
    <xf numFmtId="0" fontId="0" fillId="9" borderId="4" pivotButton="0" quotePrefix="0" xfId="0"/>
    <xf numFmtId="1" fontId="18" fillId="8" borderId="10" applyAlignment="1" pivotButton="0" quotePrefix="0" xfId="0">
      <alignment indent="2"/>
    </xf>
    <xf numFmtId="9" fontId="19" fillId="9" borderId="12" applyAlignment="1" pivotButton="0" quotePrefix="0" xfId="0">
      <alignment indent="2"/>
    </xf>
    <xf numFmtId="0" fontId="0" fillId="9" borderId="6" pivotButton="0" quotePrefix="0" xfId="0"/>
    <xf numFmtId="0" fontId="20" fillId="4" borderId="0" applyAlignment="1" pivotButton="0" quotePrefix="0" xfId="0">
      <alignment vertical="center" indent="1"/>
    </xf>
    <xf numFmtId="0" fontId="21" fillId="0" borderId="0" pivotButton="0" quotePrefix="0" xfId="0"/>
    <xf numFmtId="0" fontId="9" fillId="5" borderId="2" applyAlignment="1" pivotButton="0" quotePrefix="0" xfId="0">
      <alignment horizontal="center" vertical="center"/>
    </xf>
    <xf numFmtId="0" fontId="10" fillId="0" borderId="2" pivotButton="0" quotePrefix="0" xfId="0"/>
    <xf numFmtId="167" fontId="10" fillId="0" borderId="2" pivotButton="0" quotePrefix="0" xfId="0"/>
    <xf numFmtId="9" fontId="10" fillId="0" borderId="2" pivotButton="0" quotePrefix="0" xfId="0"/>
    <xf numFmtId="0" fontId="22" fillId="0" borderId="2" pivotButton="0" quotePrefix="0" xfId="0"/>
    <xf numFmtId="0" fontId="11" fillId="0" borderId="2" pivotButton="0" quotePrefix="0" xfId="0"/>
    <xf numFmtId="0" fontId="13" fillId="0" borderId="0" pivotButton="0" quotePrefix="0" xfId="0"/>
    <xf numFmtId="166" fontId="0" fillId="0" borderId="2" pivotButton="0" quotePrefix="0" xfId="0"/>
    <xf numFmtId="0" fontId="0" fillId="0" borderId="2" pivotButton="0" quotePrefix="0" xfId="0"/>
    <xf numFmtId="167" fontId="0" fillId="0" borderId="2" pivotButton="0" quotePrefix="0" xfId="0"/>
    <xf numFmtId="0" fontId="8" fillId="0" borderId="2" applyAlignment="1" pivotButton="0" quotePrefix="0" xfId="0">
      <alignment horizontal="center"/>
    </xf>
    <xf numFmtId="0" fontId="12" fillId="0" borderId="2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/>
    </xf>
    <xf numFmtId="0" fontId="1" fillId="2" borderId="13" applyAlignment="1" pivotButton="0" quotePrefix="0" xfId="0">
      <alignment vertical="center" indent="1"/>
    </xf>
    <xf numFmtId="0" fontId="2" fillId="10" borderId="13" applyAlignment="1" pivotButton="0" quotePrefix="0" xfId="0">
      <alignment vertical="center" indent="1"/>
    </xf>
    <xf numFmtId="0" fontId="0" fillId="10" borderId="0" pivotButton="0" quotePrefix="0" xfId="0"/>
    <xf numFmtId="0" fontId="3" fillId="10" borderId="13" applyAlignment="1" pivotButton="0" quotePrefix="0" xfId="0">
      <alignment vertical="center" indent="1"/>
    </xf>
    <xf numFmtId="0" fontId="23" fillId="0" borderId="0" pivotButton="0" quotePrefix="0" xfId="0"/>
    <xf numFmtId="1" fontId="24" fillId="11" borderId="2" applyAlignment="1" pivotButton="0" quotePrefix="0" xfId="0">
      <alignment horizontal="center"/>
    </xf>
    <xf numFmtId="167" fontId="25" fillId="0" borderId="2" pivotButton="0" quotePrefix="0" xfId="0"/>
    <xf numFmtId="167" fontId="26" fillId="0" borderId="2" pivotButton="0" quotePrefix="0" xfId="0"/>
    <xf numFmtId="167" fontId="11" fillId="0" borderId="2" pivotButton="0" quotePrefix="0" xfId="0"/>
    <xf numFmtId="0" fontId="23" fillId="11" borderId="2" pivotButton="0" quotePrefix="0" xfId="0"/>
    <xf numFmtId="167" fontId="23" fillId="11" borderId="2" pivotButton="0" quotePrefix="0" xfId="0"/>
    <xf numFmtId="0" fontId="0" fillId="11" borderId="2" pivotButton="0" quotePrefix="0" xfId="0"/>
    <xf numFmtId="0" fontId="27" fillId="0" borderId="0" pivotButton="0" quotePrefix="0" xfId="0"/>
    <xf numFmtId="167" fontId="5" fillId="0" borderId="2" pivotButton="0" quotePrefix="0" xfId="0"/>
    <xf numFmtId="0" fontId="1" fillId="2" borderId="14" applyAlignment="1" pivotButton="0" quotePrefix="0" xfId="0">
      <alignment vertical="center" indent="1"/>
    </xf>
    <xf numFmtId="0" fontId="2" fillId="12" borderId="14" applyAlignment="1" pivotButton="0" quotePrefix="0" xfId="0">
      <alignment vertical="center" indent="1"/>
    </xf>
    <xf numFmtId="0" fontId="0" fillId="12" borderId="0" pivotButton="0" quotePrefix="0" xfId="0"/>
    <xf numFmtId="0" fontId="3" fillId="12" borderId="14" applyAlignment="1" pivotButton="0" quotePrefix="0" xfId="0">
      <alignment vertical="center" indent="1"/>
    </xf>
    <xf numFmtId="9" fontId="0" fillId="0" borderId="2" pivotButton="0" quotePrefix="0" xfId="0"/>
    <xf numFmtId="0" fontId="28" fillId="0" borderId="2" pivotButton="0" quotePrefix="0" xfId="0"/>
    <xf numFmtId="0" fontId="1" fillId="2" borderId="15" applyAlignment="1" pivotButton="0" quotePrefix="0" xfId="0">
      <alignment vertical="center" indent="1"/>
    </xf>
    <xf numFmtId="0" fontId="2" fillId="13" borderId="15" applyAlignment="1" pivotButton="0" quotePrefix="0" xfId="0">
      <alignment vertical="center" indent="1"/>
    </xf>
    <xf numFmtId="0" fontId="0" fillId="13" borderId="0" pivotButton="0" quotePrefix="0" xfId="0"/>
    <xf numFmtId="0" fontId="3" fillId="13" borderId="15" applyAlignment="1" pivotButton="0" quotePrefix="0" xfId="0">
      <alignment vertical="center" indent="1"/>
    </xf>
    <xf numFmtId="0" fontId="0" fillId="0" borderId="2" applyAlignment="1" pivotButton="0" quotePrefix="0" xfId="0">
      <alignment horizontal="center"/>
    </xf>
    <xf numFmtId="167" fontId="29" fillId="0" borderId="2" pivotButton="0" quotePrefix="0" xfId="0"/>
    <xf numFmtId="0" fontId="1" fillId="2" borderId="16" applyAlignment="1" pivotButton="0" quotePrefix="0" xfId="0">
      <alignment vertical="center" indent="1"/>
    </xf>
    <xf numFmtId="0" fontId="2" fillId="14" borderId="16" applyAlignment="1" pivotButton="0" quotePrefix="0" xfId="0">
      <alignment vertical="center" indent="1"/>
    </xf>
    <xf numFmtId="0" fontId="0" fillId="14" borderId="0" pivotButton="0" quotePrefix="0" xfId="0"/>
    <xf numFmtId="0" fontId="3" fillId="14" borderId="16" applyAlignment="1" pivotButton="0" quotePrefix="0" xfId="0">
      <alignment vertical="center" indent="1"/>
    </xf>
    <xf numFmtId="0" fontId="28" fillId="0" borderId="2" applyAlignment="1" pivotButton="0" quotePrefix="0" xfId="0">
      <alignment horizontal="center"/>
    </xf>
    <xf numFmtId="0" fontId="1" fillId="2" borderId="17" applyAlignment="1" pivotButton="0" quotePrefix="0" xfId="0">
      <alignment vertical="center" indent="1"/>
    </xf>
    <xf numFmtId="0" fontId="2" fillId="15" borderId="17" applyAlignment="1" pivotButton="0" quotePrefix="0" xfId="0">
      <alignment vertical="center" indent="1"/>
    </xf>
    <xf numFmtId="0" fontId="0" fillId="15" borderId="0" pivotButton="0" quotePrefix="0" xfId="0"/>
    <xf numFmtId="0" fontId="3" fillId="15" borderId="17" applyAlignment="1" pivotButton="0" quotePrefix="0" xfId="0">
      <alignment vertical="center" indent="1"/>
    </xf>
    <xf numFmtId="168" fontId="0" fillId="0" borderId="2" pivotButton="0" quotePrefix="0" xfId="0"/>
    <xf numFmtId="0" fontId="20" fillId="0" borderId="0" pivotButton="0" quotePrefix="0" xfId="0"/>
    <xf numFmtId="167" fontId="30" fillId="16" borderId="2" pivotButton="0" quotePrefix="0" xfId="0"/>
    <xf numFmtId="0" fontId="1" fillId="2" borderId="18" applyAlignment="1" pivotButton="0" quotePrefix="0" xfId="0">
      <alignment vertical="center" indent="1"/>
    </xf>
    <xf numFmtId="0" fontId="2" fillId="17" borderId="18" applyAlignment="1" pivotButton="0" quotePrefix="0" xfId="0">
      <alignment vertical="center" indent="1"/>
    </xf>
    <xf numFmtId="0" fontId="0" fillId="17" borderId="0" pivotButton="0" quotePrefix="0" xfId="0"/>
    <xf numFmtId="0" fontId="3" fillId="17" borderId="18" applyAlignment="1" pivotButton="0" quotePrefix="0" xfId="0">
      <alignment vertical="center" indent="1"/>
    </xf>
    <xf numFmtId="167" fontId="28" fillId="0" borderId="2" pivotButton="0" quotePrefix="0" xfId="0"/>
    <xf numFmtId="0" fontId="4" fillId="0" borderId="0" pivotButton="0" quotePrefix="0" xfId="0"/>
    <xf numFmtId="0" fontId="5" fillId="0" borderId="0" pivotButton="0" quotePrefix="0" xfId="0"/>
    <xf numFmtId="165" fontId="6" fillId="4" borderId="2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5" fillId="0" borderId="2" pivotButton="0" quotePrefix="0" xfId="0"/>
    <xf numFmtId="0" fontId="11" fillId="0" borderId="0" pivotButton="0" quotePrefix="0" xfId="0"/>
    <xf numFmtId="0" fontId="0" fillId="4" borderId="2" pivotButton="0" quotePrefix="0" xfId="0"/>
    <xf numFmtId="0" fontId="8" fillId="0" borderId="2" pivotButton="0" quotePrefix="0" xfId="0"/>
  </cellXfs>
  <cellStyles count="1">
    <cellStyle name="Normal" xfId="0" builtinId="0" hidden="0"/>
  </cellStyles>
  <dxfs count="13">
    <dxf>
      <font>
        <b val="1"/>
        <color rgb="00DC2626"/>
      </font>
      <fill>
        <patternFill patternType="solid">
          <fgColor rgb="00FEE2E2"/>
        </patternFill>
      </fill>
    </dxf>
    <dxf>
      <font>
        <b val="1"/>
        <color rgb="00D97706"/>
      </font>
      <fill>
        <patternFill patternType="solid">
          <fgColor rgb="00FEF3C7"/>
        </patternFill>
      </fill>
    </dxf>
    <dxf>
      <font>
        <b val="1"/>
        <color rgb="00059669"/>
      </font>
    </dxf>
    <dxf>
      <fill>
        <patternFill patternType="solid">
          <fgColor rgb="00ECFDF5"/>
        </patternFill>
      </fill>
    </dxf>
    <dxf>
      <fill>
        <patternFill patternType="solid">
          <fgColor rgb="00FEF3C7"/>
        </patternFill>
      </fill>
    </dxf>
    <dxf>
      <font>
        <b val="1"/>
        <color rgb="00DC2626"/>
      </font>
    </dxf>
    <dxf>
      <fill>
        <patternFill patternType="solid">
          <fgColor rgb="00F0F9FD"/>
        </patternFill>
      </fill>
    </dxf>
    <dxf>
      <fill>
        <patternFill patternType="solid">
          <fgColor rgb="00FCF6F0"/>
        </patternFill>
      </fill>
    </dxf>
    <dxf>
      <fill>
        <patternFill patternType="solid">
          <fgColor rgb="00F0F8F6"/>
        </patternFill>
      </fill>
    </dxf>
    <dxf>
      <fill>
        <patternFill patternType="solid">
          <fgColor rgb="00F8F5FE"/>
        </patternFill>
      </fill>
    </dxf>
    <dxf>
      <fill>
        <patternFill patternType="solid">
          <fgColor rgb="00FCF1F1"/>
        </patternFill>
      </fill>
    </dxf>
    <dxf>
      <fill>
        <patternFill patternType="solid">
          <fgColor rgb="00F0F8FA"/>
        </patternFill>
      </fill>
    </dxf>
    <dxf>
      <fill>
        <patternFill patternType="solid">
          <fgColor rgb="00FEF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Receitas x Despesas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'Análises'!B7</f>
            </strRef>
          </tx>
          <spPr>
            <a:ln>
              <a:prstDash val="solid"/>
            </a:ln>
          </spPr>
          <cat>
            <numRef>
              <f>'Análises'!$A$8:$A$19</f>
            </numRef>
          </cat>
          <val>
            <numRef>
              <f>'Análises'!$B$8:$B$19</f>
            </numRef>
          </val>
        </ser>
        <ser>
          <idx val="1"/>
          <order val="1"/>
          <tx>
            <strRef>
              <f>'Análises'!C7</f>
            </strRef>
          </tx>
          <spPr>
            <a:ln>
              <a:prstDash val="solid"/>
            </a:ln>
          </spPr>
          <cat>
            <numRef>
              <f>'Análises'!$A$8:$A$19</f>
            </numRef>
          </cat>
          <val>
            <numRef>
              <f>'Análises'!$C$8:$C$19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por categoria</a:t>
            </a:r>
          </a:p>
        </rich>
      </tx>
    </title>
    <plotArea>
      <pieChart>
        <varyColors val="1"/>
        <ser>
          <idx val="0"/>
          <order val="0"/>
          <tx>
            <strRef>
              <f>'Análises'!B24</f>
            </strRef>
          </tx>
          <spPr>
            <a:ln>
              <a:prstDash val="solid"/>
            </a:ln>
          </spPr>
          <cat>
            <numRef>
              <f>'Análises'!$A$25:$A$32</f>
            </numRef>
          </cat>
          <val>
            <numRef>
              <f>'Análises'!$B$25:$B$32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172A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" customWidth="1" min="3" max="3"/>
    <col width="22" customWidth="1" min="4" max="4"/>
    <col width="30" customWidth="1" min="5" max="5"/>
    <col width="4" customWidth="1" min="6" max="6"/>
    <col width="22" customWidth="1" min="7" max="7"/>
    <col width="16" customWidth="1" min="8" max="8"/>
  </cols>
  <sheetData>
    <row r="1" ht="42" customHeight="1">
      <c r="A1" s="1" t="inlineStr">
        <is>
          <t>Finn.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Resumo do mês</t>
        </is>
      </c>
      <c r="B2" s="4" t="n"/>
      <c r="C2" s="4" t="n"/>
      <c r="D2" s="4" t="n"/>
      <c r="E2" s="4" t="n"/>
      <c r="F2" s="4" t="n"/>
      <c r="G2" s="4" t="n"/>
      <c r="H2" s="4" t="n"/>
    </row>
    <row r="3" ht="18" customHeight="1">
      <c r="A3" s="5" t="inlineStr">
        <is>
          <t>Tudo aqui é calculado sozinho a partir da aba Lançamentos.</t>
        </is>
      </c>
      <c r="B3" s="4" t="n"/>
      <c r="C3" s="4" t="n"/>
      <c r="D3" s="4" t="n"/>
      <c r="E3" s="4" t="n"/>
      <c r="F3" s="4" t="n"/>
      <c r="G3" s="4" t="n"/>
      <c r="H3" s="4" t="n"/>
    </row>
    <row r="5">
      <c r="A5" s="6">
        <f>Config!D6</f>
        <v/>
      </c>
      <c r="C5" s="7" t="inlineStr">
        <is>
          <t>(troque o mês na aba Config)</t>
        </is>
      </c>
    </row>
    <row r="7" ht="19" customHeight="1">
      <c r="A7" s="8" t="inlineStr">
        <is>
          <t>RECEITAS DO MÊS</t>
        </is>
      </c>
      <c r="B7" s="9" t="n"/>
      <c r="D7" s="10" t="inlineStr">
        <is>
          <t>DESPESAS DO MÊS</t>
        </is>
      </c>
      <c r="E7" s="11" t="n"/>
      <c r="G7" s="12" t="inlineStr">
        <is>
          <t>SALDO</t>
        </is>
      </c>
      <c r="H7" s="13" t="n"/>
    </row>
    <row r="8" ht="28" customHeight="1">
      <c r="A8" s="14">
        <f>SUMIFS('Lançamentos'!$E$6:$E$905,'Lançamentos'!$F$6:$F$905,Config!$D$7,'Lançamentos'!$B$6:$B$905,"Receita")</f>
        <v/>
      </c>
      <c r="B8" s="15" t="n"/>
      <c r="D8" s="16">
        <f>SUMIFS('Lançamentos'!$E$6:$E$905,'Lançamentos'!$F$6:$F$905,Config!$D$7,'Lançamentos'!$B$6:$B$905,"Despesa")</f>
        <v/>
      </c>
      <c r="E8" s="17" t="n"/>
      <c r="G8" s="18">
        <f>SUMIFS('Lançamentos'!$E$6:$E$905,'Lançamentos'!$F$6:$F$905,Config!$D$7,'Lançamentos'!$B$6:$B$905,"Receita")-SUMIFS('Lançamentos'!$E$6:$E$905,'Lançamentos'!$F$6:$F$905,Config!$D$7,'Lançamentos'!$B$6:$B$905,"Despesa")</f>
        <v/>
      </c>
      <c r="H8" s="19" t="n"/>
    </row>
    <row r="10" ht="19" customHeight="1">
      <c r="A10" s="12" t="inlineStr">
        <is>
          <t>LANÇAMENTOS NO MÊS</t>
        </is>
      </c>
      <c r="B10" s="13" t="n"/>
      <c r="D10" s="12" t="inlineStr">
        <is>
          <t>GASTO MÉDIO POR DIA</t>
        </is>
      </c>
      <c r="E10" s="13" t="n"/>
      <c r="G10" s="20" t="inlineStr">
        <is>
          <t>TAXA DE POUPANÇA</t>
        </is>
      </c>
      <c r="H10" s="21" t="n"/>
    </row>
    <row r="11" ht="28" customHeight="1">
      <c r="A11" s="22">
        <f>COUNTIFS('Lançamentos'!$F$6:$F$905,Config!$D$7)</f>
        <v/>
      </c>
      <c r="B11" s="19" t="n"/>
      <c r="D11" s="18">
        <f>IFERROR(SUMIFS('Lançamentos'!$E$6:$E$905,'Lançamentos'!$F$6:$F$905,Config!$D$7,'Lançamentos'!$B$6:$B$905,"Despesa")/DAY(EOMONTH(Config!$D$6,0)),0)</f>
        <v/>
      </c>
      <c r="E11" s="19" t="n"/>
      <c r="G11" s="23">
        <f>IFERROR((SUMIFS('Lançamentos'!$E$6:$E$905,'Lançamentos'!$F$6:$F$905,Config!$D$7,'Lançamentos'!$B$6:$B$905,"Receita")-SUMIFS('Lançamentos'!$E$6:$E$905,'Lançamentos'!$F$6:$F$905,Config!$D$7,'Lançamentos'!$B$6:$B$905,"Despesa"))/SUMIFS('Lançamentos'!$E$6:$E$905,'Lançamentos'!$F$6:$F$905,Config!$D$7,'Lançamentos'!$B$6:$B$905,"Receita"),0)</f>
        <v/>
      </c>
      <c r="H11" s="24" t="n"/>
    </row>
    <row r="14" ht="24" customHeight="1">
      <c r="A14" s="25">
        <f>IFERROR(IF(SUMIFS('Lançamentos'!$E$6:$E$905,'Lançamentos'!$F$6:$F$905,Config!$D$7,'Lançamentos'!$B$6:$B$905,"Despesa")=0,"Sem despesa lançada neste mês.",IF(SUMIFS('Lançamentos'!$E$6:$E$905,'Lançamentos'!$F$6:$F$905,Config!$D$8,'Lançamentos'!$B$6:$B$905,"Despesa")=0,"Sem mês anterior para comparar.","Você gastou "&amp;TEXT(ABS(SUMIFS('Lançamentos'!$E$6:$E$905,'Lançamentos'!$F$6:$F$905,Config!$D$7,'Lançamentos'!$B$6:$B$905,"Despesa")/SUMIFS('Lançamentos'!$E$6:$E$905,'Lançamentos'!$F$6:$F$905,Config!$D$8,'Lançamentos'!$B$6:$B$905,"Despesa")-1),"0%")&amp;IF(SUMIFS('Lançamentos'!$E$6:$E$905,'Lançamentos'!$F$6:$F$905,Config!$D$7,'Lançamentos'!$B$6:$B$905,"Despesa")&lt;SUMIFS('Lançamentos'!$E$6:$E$905,'Lançamentos'!$F$6:$F$905,Config!$D$8,'Lançamentos'!$B$6:$B$905,"Despesa")," a menos"," a mais")&amp;" que no mês anterior.")),"")</f>
        <v/>
      </c>
    </row>
    <row r="17">
      <c r="A17" s="26" t="inlineStr">
        <is>
          <t>PARA ONDE FOI O DINHEIRO</t>
        </is>
      </c>
    </row>
    <row r="18" ht="26" customHeight="1">
      <c r="A18" s="27" t="inlineStr">
        <is>
          <t>Categoria</t>
        </is>
      </c>
      <c r="B18" s="27" t="inlineStr">
        <is>
          <t>Gasto</t>
        </is>
      </c>
      <c r="C18" s="27" t="inlineStr"/>
      <c r="D18" s="27" t="inlineStr">
        <is>
          <t>% do total</t>
        </is>
      </c>
      <c r="E18" s="27" t="inlineStr">
        <is>
          <t>Barra</t>
        </is>
      </c>
    </row>
    <row r="19">
      <c r="A19" s="28" t="inlineStr">
        <is>
          <t>Alimentação</t>
        </is>
      </c>
      <c r="B19" s="29">
        <f>SUMIFS('Lançamentos'!$E$6:$E$905,'Lançamentos'!$F$6:$F$905,Config!$D$7,'Lançamentos'!$B$6:$B$905,"Despesa",'Lançamentos'!$C$6:$C$905,$A19)</f>
        <v/>
      </c>
      <c r="D19" s="30">
        <f>IFERROR($B19/SUMIFS('Lançamentos'!$E$6:$E$905,'Lançamentos'!$F$6:$F$905,Config!$D$7,'Lançamentos'!$B$6:$B$905,"Despesa"),0)</f>
        <v/>
      </c>
      <c r="E19" s="31">
        <f>IF($B19=0,"",REPT("|",ROUND($D19*40,0)))</f>
        <v/>
      </c>
    </row>
    <row r="20">
      <c r="A20" s="28" t="inlineStr">
        <is>
          <t>Transporte</t>
        </is>
      </c>
      <c r="B20" s="29">
        <f>SUMIFS('Lançamentos'!$E$6:$E$905,'Lançamentos'!$F$6:$F$905,Config!$D$7,'Lançamentos'!$B$6:$B$905,"Despesa",'Lançamentos'!$C$6:$C$905,$A20)</f>
        <v/>
      </c>
      <c r="D20" s="30">
        <f>IFERROR($B20/SUMIFS('Lançamentos'!$E$6:$E$905,'Lançamentos'!$F$6:$F$905,Config!$D$7,'Lançamentos'!$B$6:$B$905,"Despesa"),0)</f>
        <v/>
      </c>
      <c r="E20" s="31">
        <f>IF($B20=0,"",REPT("|",ROUND($D20*40,0)))</f>
        <v/>
      </c>
    </row>
    <row r="21">
      <c r="A21" s="28" t="inlineStr">
        <is>
          <t>Moradia</t>
        </is>
      </c>
      <c r="B21" s="29">
        <f>SUMIFS('Lançamentos'!$E$6:$E$905,'Lançamentos'!$F$6:$F$905,Config!$D$7,'Lançamentos'!$B$6:$B$905,"Despesa",'Lançamentos'!$C$6:$C$905,$A21)</f>
        <v/>
      </c>
      <c r="D21" s="30">
        <f>IFERROR($B21/SUMIFS('Lançamentos'!$E$6:$E$905,'Lançamentos'!$F$6:$F$905,Config!$D$7,'Lançamentos'!$B$6:$B$905,"Despesa"),0)</f>
        <v/>
      </c>
      <c r="E21" s="31">
        <f>IF($B21=0,"",REPT("|",ROUND($D21*40,0)))</f>
        <v/>
      </c>
    </row>
    <row r="22">
      <c r="A22" s="28" t="inlineStr">
        <is>
          <t>Saúde</t>
        </is>
      </c>
      <c r="B22" s="29">
        <f>SUMIFS('Lançamentos'!$E$6:$E$905,'Lançamentos'!$F$6:$F$905,Config!$D$7,'Lançamentos'!$B$6:$B$905,"Despesa",'Lançamentos'!$C$6:$C$905,$A22)</f>
        <v/>
      </c>
      <c r="D22" s="30">
        <f>IFERROR($B22/SUMIFS('Lançamentos'!$E$6:$E$905,'Lançamentos'!$F$6:$F$905,Config!$D$7,'Lançamentos'!$B$6:$B$905,"Despesa"),0)</f>
        <v/>
      </c>
      <c r="E22" s="31">
        <f>IF($B22=0,"",REPT("|",ROUND($D22*40,0)))</f>
        <v/>
      </c>
    </row>
    <row r="23">
      <c r="A23" s="28" t="inlineStr">
        <is>
          <t>Educação</t>
        </is>
      </c>
      <c r="B23" s="29">
        <f>SUMIFS('Lançamentos'!$E$6:$E$905,'Lançamentos'!$F$6:$F$905,Config!$D$7,'Lançamentos'!$B$6:$B$905,"Despesa",'Lançamentos'!$C$6:$C$905,$A23)</f>
        <v/>
      </c>
      <c r="D23" s="30">
        <f>IFERROR($B23/SUMIFS('Lançamentos'!$E$6:$E$905,'Lançamentos'!$F$6:$F$905,Config!$D$7,'Lançamentos'!$B$6:$B$905,"Despesa"),0)</f>
        <v/>
      </c>
      <c r="E23" s="31">
        <f>IF($B23=0,"",REPT("|",ROUND($D23*40,0)))</f>
        <v/>
      </c>
    </row>
    <row r="24">
      <c r="A24" s="28" t="inlineStr">
        <is>
          <t>Lazer</t>
        </is>
      </c>
      <c r="B24" s="29">
        <f>SUMIFS('Lançamentos'!$E$6:$E$905,'Lançamentos'!$F$6:$F$905,Config!$D$7,'Lançamentos'!$B$6:$B$905,"Despesa",'Lançamentos'!$C$6:$C$905,$A24)</f>
        <v/>
      </c>
      <c r="D24" s="30">
        <f>IFERROR($B24/SUMIFS('Lançamentos'!$E$6:$E$905,'Lançamentos'!$F$6:$F$905,Config!$D$7,'Lançamentos'!$B$6:$B$905,"Despesa"),0)</f>
        <v/>
      </c>
      <c r="E24" s="31">
        <f>IF($B24=0,"",REPT("|",ROUND($D24*40,0)))</f>
        <v/>
      </c>
    </row>
    <row r="25">
      <c r="A25" s="28" t="inlineStr">
        <is>
          <t>Vestuário</t>
        </is>
      </c>
      <c r="B25" s="29">
        <f>SUMIFS('Lançamentos'!$E$6:$E$905,'Lançamentos'!$F$6:$F$905,Config!$D$7,'Lançamentos'!$B$6:$B$905,"Despesa",'Lançamentos'!$C$6:$C$905,$A25)</f>
        <v/>
      </c>
      <c r="D25" s="30">
        <f>IFERROR($B25/SUMIFS('Lançamentos'!$E$6:$E$905,'Lançamentos'!$F$6:$F$905,Config!$D$7,'Lançamentos'!$B$6:$B$905,"Despesa"),0)</f>
        <v/>
      </c>
      <c r="E25" s="31">
        <f>IF($B25=0,"",REPT("|",ROUND($D25*40,0)))</f>
        <v/>
      </c>
    </row>
    <row r="26">
      <c r="A26" s="28" t="inlineStr">
        <is>
          <t>Outros</t>
        </is>
      </c>
      <c r="B26" s="29">
        <f>SUMIFS('Lançamentos'!$E$6:$E$905,'Lançamentos'!$F$6:$F$905,Config!$D$7,'Lançamentos'!$B$6:$B$905,"Despesa",'Lançamentos'!$C$6:$C$905,$A26)</f>
        <v/>
      </c>
      <c r="D26" s="30">
        <f>IFERROR($B26/SUMIFS('Lançamentos'!$E$6:$E$905,'Lançamentos'!$F$6:$F$905,Config!$D$7,'Lançamentos'!$B$6:$B$905,"Despesa"),0)</f>
        <v/>
      </c>
      <c r="E26" s="31">
        <f>IF($B26=0,"",REPT("|",ROUND($D26*40,0)))</f>
        <v/>
      </c>
    </row>
    <row r="30">
      <c r="A30" s="26" t="inlineStr">
        <is>
          <t>COMO ESTÃO SEUS LIMITES</t>
        </is>
      </c>
    </row>
    <row r="31">
      <c r="A31" s="7">
        <f>IF(COUNTA(Limites!$A$6:$A$25)=0,"Nenhum limite definido — vá na aba Limites.","")</f>
        <v/>
      </c>
    </row>
    <row r="32" ht="26" customHeight="1">
      <c r="A32" s="27" t="inlineStr">
        <is>
          <t>Categoria</t>
        </is>
      </c>
      <c r="B32" s="27" t="inlineStr">
        <is>
          <t>Gasto</t>
        </is>
      </c>
      <c r="C32" s="27" t="inlineStr"/>
      <c r="D32" s="27" t="inlineStr">
        <is>
          <t>Limite</t>
        </is>
      </c>
      <c r="E32" s="27" t="inlineStr">
        <is>
          <t>Situação</t>
        </is>
      </c>
    </row>
    <row r="33">
      <c r="A33" s="28">
        <f>IF(Limites!$A6="","",Limites!$A6)</f>
        <v/>
      </c>
      <c r="B33" s="29">
        <f>IF($A33="","",Limites!$C6)</f>
        <v/>
      </c>
      <c r="D33" s="29">
        <f>IF($A33="","",Limites!$B6)</f>
        <v/>
      </c>
      <c r="E33" s="32">
        <f>IF($A33="","",IF(Limites!$E6&gt;1,"Estourou",IF(Limites!$E6&gt;0.8,"Atenção","Ok")))</f>
        <v/>
      </c>
    </row>
    <row r="34">
      <c r="A34" s="28">
        <f>IF(Limites!$A7="","",Limites!$A7)</f>
        <v/>
      </c>
      <c r="B34" s="29">
        <f>IF($A34="","",Limites!$C7)</f>
        <v/>
      </c>
      <c r="D34" s="29">
        <f>IF($A34="","",Limites!$B7)</f>
        <v/>
      </c>
      <c r="E34" s="32">
        <f>IF($A34="","",IF(Limites!$E7&gt;1,"Estourou",IF(Limites!$E7&gt;0.8,"Atenção","Ok")))</f>
        <v/>
      </c>
    </row>
    <row r="35">
      <c r="A35" s="28">
        <f>IF(Limites!$A8="","",Limites!$A8)</f>
        <v/>
      </c>
      <c r="B35" s="29">
        <f>IF($A35="","",Limites!$C8)</f>
        <v/>
      </c>
      <c r="D35" s="29">
        <f>IF($A35="","",Limites!$B8)</f>
        <v/>
      </c>
      <c r="E35" s="32">
        <f>IF($A35="","",IF(Limites!$E8&gt;1,"Estourou",IF(Limites!$E8&gt;0.8,"Atenção","Ok")))</f>
        <v/>
      </c>
    </row>
    <row r="36">
      <c r="A36" s="28">
        <f>IF(Limites!$A9="","",Limites!$A9)</f>
        <v/>
      </c>
      <c r="B36" s="29">
        <f>IF($A36="","",Limites!$C9)</f>
        <v/>
      </c>
      <c r="D36" s="29">
        <f>IF($A36="","",Limites!$B9)</f>
        <v/>
      </c>
      <c r="E36" s="32">
        <f>IF($A36="","",IF(Limites!$E9&gt;1,"Estourou",IF(Limites!$E9&gt;0.8,"Atenção","Ok")))</f>
        <v/>
      </c>
    </row>
    <row r="37">
      <c r="A37" s="28">
        <f>IF(Limites!$A10="","",Limites!$A10)</f>
        <v/>
      </c>
      <c r="B37" s="29">
        <f>IF($A37="","",Limites!$C10)</f>
        <v/>
      </c>
      <c r="D37" s="29">
        <f>IF($A37="","",Limites!$B10)</f>
        <v/>
      </c>
      <c r="E37" s="32">
        <f>IF($A37="","",IF(Limites!$E10&gt;1,"Estourou",IF(Limites!$E10&gt;0.8,"Atenção","Ok")))</f>
        <v/>
      </c>
    </row>
    <row r="38">
      <c r="A38" s="28">
        <f>IF(Limites!$A11="","",Limites!$A11)</f>
        <v/>
      </c>
      <c r="B38" s="29">
        <f>IF($A38="","",Limites!$C11)</f>
        <v/>
      </c>
      <c r="D38" s="29">
        <f>IF($A38="","",Limites!$B11)</f>
        <v/>
      </c>
      <c r="E38" s="32">
        <f>IF($A38="","",IF(Limites!$E11&gt;1,"Estourou",IF(Limites!$E11&gt;0.8,"Atenção","Ok")))</f>
        <v/>
      </c>
    </row>
    <row r="39">
      <c r="A39" s="28">
        <f>IF(Limites!$A12="","",Limites!$A12)</f>
        <v/>
      </c>
      <c r="B39" s="29">
        <f>IF($A39="","",Limites!$C12)</f>
        <v/>
      </c>
      <c r="D39" s="29">
        <f>IF($A39="","",Limites!$B12)</f>
        <v/>
      </c>
      <c r="E39" s="32">
        <f>IF($A39="","",IF(Limites!$E12&gt;1,"Estourou",IF(Limites!$E12&gt;0.8,"Atenção","Ok")))</f>
        <v/>
      </c>
    </row>
    <row r="40">
      <c r="A40" s="28">
        <f>IF(Limites!$A13="","",Limites!$A13)</f>
        <v/>
      </c>
      <c r="B40" s="29">
        <f>IF($A40="","",Limites!$C13)</f>
        <v/>
      </c>
      <c r="D40" s="29">
        <f>IF($A40="","",Limites!$B13)</f>
        <v/>
      </c>
      <c r="E40" s="32">
        <f>IF($A40="","",IF(Limites!$E13&gt;1,"Estourou",IF(Limites!$E13&gt;0.8,"Atenção","Ok")))</f>
        <v/>
      </c>
    </row>
  </sheetData>
  <mergeCells count="16">
    <mergeCell ref="D8:E8"/>
    <mergeCell ref="A3:H3"/>
    <mergeCell ref="D7:E7"/>
    <mergeCell ref="A7:B7"/>
    <mergeCell ref="G7:H7"/>
    <mergeCell ref="D10:E10"/>
    <mergeCell ref="D11:E11"/>
    <mergeCell ref="A2:H2"/>
    <mergeCell ref="A11:B11"/>
    <mergeCell ref="A10:B10"/>
    <mergeCell ref="G10:H10"/>
    <mergeCell ref="G11:H11"/>
    <mergeCell ref="A14:H14"/>
    <mergeCell ref="A1:H1"/>
    <mergeCell ref="G8:H8"/>
    <mergeCell ref="A8:B8"/>
  </mergeCells>
  <conditionalFormatting sqref="E33:E40">
    <cfRule type="expression" priority="1" dxfId="0">
      <formula>$E33="Estourou"</formula>
    </cfRule>
    <cfRule type="expression" priority="2" dxfId="1">
      <formula>$E33="Atenção"</formula>
    </cfRule>
    <cfRule type="expression" priority="3" dxfId="2">
      <formula>$E33="Ok"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L9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8" customWidth="1" min="3" max="3"/>
    <col width="38" customWidth="1" min="4" max="4"/>
    <col width="15" customWidth="1" min="5" max="5"/>
    <col width="11" customWidth="1" min="6" max="6"/>
    <col width="24" customWidth="1" min="7" max="7"/>
    <col width="12" customWidth="1" min="8" max="8"/>
    <col width="20" customWidth="1" min="10" max="10"/>
    <col width="8" customWidth="1" min="12" max="12"/>
  </cols>
  <sheetData>
    <row r="1" ht="42" customHeight="1">
      <c r="A1" s="1" t="inlineStr">
        <is>
          <t>Finn.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Lançamentos</t>
        </is>
      </c>
      <c r="B2" s="4" t="n"/>
      <c r="C2" s="4" t="n"/>
      <c r="D2" s="4" t="n"/>
      <c r="E2" s="4" t="n"/>
      <c r="F2" s="4" t="n"/>
      <c r="G2" s="4" t="n"/>
      <c r="H2" s="4" t="n"/>
    </row>
    <row r="3" ht="18" customHeight="1">
      <c r="A3" s="5" t="inlineStr">
        <is>
          <t>Uma linha por gasto ou entrada. É a única aba onde você digita valores.</t>
        </is>
      </c>
      <c r="B3" s="4" t="n"/>
      <c r="C3" s="4" t="n"/>
      <c r="D3" s="4" t="n"/>
      <c r="E3" s="4" t="n"/>
      <c r="F3" s="4" t="n"/>
      <c r="G3" s="4" t="n"/>
      <c r="H3" s="4" t="n"/>
    </row>
    <row r="5" ht="26" customHeight="1">
      <c r="A5" s="27" t="inlineStr">
        <is>
          <t>Data</t>
        </is>
      </c>
      <c r="B5" s="27" t="inlineStr">
        <is>
          <t>Tipo</t>
        </is>
      </c>
      <c r="C5" s="27" t="inlineStr">
        <is>
          <t>Categoria</t>
        </is>
      </c>
      <c r="D5" s="27" t="inlineStr">
        <is>
          <t>Descrição</t>
        </is>
      </c>
      <c r="E5" s="27" t="inlineStr">
        <is>
          <t>Valor</t>
        </is>
      </c>
      <c r="F5" s="27" t="inlineStr">
        <is>
          <t>Mês</t>
        </is>
      </c>
      <c r="G5" s="27" t="inlineStr">
        <is>
          <t>ID Finn</t>
        </is>
      </c>
      <c r="H5" s="27" t="inlineStr">
        <is>
          <t>Origem</t>
        </is>
      </c>
      <c r="J5" s="33" t="inlineStr">
        <is>
          <t>Confira</t>
        </is>
      </c>
    </row>
    <row r="6">
      <c r="A6" s="34" t="n"/>
      <c r="B6" s="35" t="n"/>
      <c r="C6" s="35" t="n"/>
      <c r="D6" s="35" t="n"/>
      <c r="E6" s="36" t="n"/>
      <c r="F6" s="37">
        <f>IF($A6="","",TEXT($A6,"yyyy-mm"))</f>
        <v/>
      </c>
      <c r="G6" s="38" t="n"/>
      <c r="H6" s="37" t="n"/>
      <c r="J6" s="39" t="inlineStr">
        <is>
          <t>Linhas preenchidas</t>
        </is>
      </c>
      <c r="L6" s="40">
        <f>COUNTA($A$6:$A$905)</f>
        <v/>
      </c>
    </row>
    <row r="7">
      <c r="A7" s="34" t="n"/>
      <c r="B7" s="35" t="n"/>
      <c r="C7" s="35" t="n"/>
      <c r="D7" s="35" t="n"/>
      <c r="E7" s="36" t="n"/>
      <c r="F7" s="37">
        <f>IF($A7="","",TEXT($A7,"yyyy-mm"))</f>
        <v/>
      </c>
      <c r="G7" s="38" t="n"/>
      <c r="H7" s="37" t="n"/>
      <c r="J7" s="39" t="inlineStr">
        <is>
          <t>Sem tipo (corrigir)</t>
        </is>
      </c>
      <c r="L7" s="40">
        <f>SUMPRODUCT(($A$6:$A$905&lt;&gt;"")*($B$6:$B$905=""))</f>
        <v/>
      </c>
    </row>
    <row r="8">
      <c r="A8" s="34" t="n"/>
      <c r="B8" s="35" t="n"/>
      <c r="C8" s="35" t="n"/>
      <c r="D8" s="35" t="n"/>
      <c r="E8" s="36" t="n"/>
      <c r="F8" s="37">
        <f>IF($A8="","",TEXT($A8,"yyyy-mm"))</f>
        <v/>
      </c>
      <c r="G8" s="38" t="n"/>
      <c r="H8" s="37" t="n"/>
      <c r="J8" s="39" t="inlineStr">
        <is>
          <t>Sem categoria</t>
        </is>
      </c>
      <c r="L8" s="40">
        <f>SUMPRODUCT(($A$6:$A$905&lt;&gt;"")*($C$6:$C$905=""))</f>
        <v/>
      </c>
    </row>
    <row r="9">
      <c r="A9" s="34" t="n"/>
      <c r="B9" s="35" t="n"/>
      <c r="C9" s="35" t="n"/>
      <c r="D9" s="35" t="n"/>
      <c r="E9" s="36" t="n"/>
      <c r="F9" s="37">
        <f>IF($A9="","",TEXT($A9,"yyyy-mm"))</f>
        <v/>
      </c>
      <c r="G9" s="38" t="n"/>
      <c r="H9" s="37" t="n"/>
    </row>
    <row r="10">
      <c r="A10" s="34" t="n"/>
      <c r="B10" s="35" t="n"/>
      <c r="C10" s="35" t="n"/>
      <c r="D10" s="35" t="n"/>
      <c r="E10" s="36" t="n"/>
      <c r="F10" s="37">
        <f>IF($A10="","",TEXT($A10,"yyyy-mm"))</f>
        <v/>
      </c>
      <c r="G10" s="38" t="n"/>
      <c r="H10" s="37" t="n"/>
    </row>
    <row r="11">
      <c r="A11" s="34" t="n"/>
      <c r="B11" s="35" t="n"/>
      <c r="C11" s="35" t="n"/>
      <c r="D11" s="35" t="n"/>
      <c r="E11" s="36" t="n"/>
      <c r="F11" s="37">
        <f>IF($A11="","",TEXT($A11,"yyyy-mm"))</f>
        <v/>
      </c>
      <c r="G11" s="38" t="n"/>
      <c r="H11" s="37" t="n"/>
    </row>
    <row r="12">
      <c r="A12" s="34" t="n"/>
      <c r="B12" s="35" t="n"/>
      <c r="C12" s="35" t="n"/>
      <c r="D12" s="35" t="n"/>
      <c r="E12" s="36" t="n"/>
      <c r="F12" s="37">
        <f>IF($A12="","",TEXT($A12,"yyyy-mm"))</f>
        <v/>
      </c>
      <c r="G12" s="38" t="n"/>
      <c r="H12" s="37" t="n"/>
    </row>
    <row r="13">
      <c r="A13" s="34" t="n"/>
      <c r="B13" s="35" t="n"/>
      <c r="C13" s="35" t="n"/>
      <c r="D13" s="35" t="n"/>
      <c r="E13" s="36" t="n"/>
      <c r="F13" s="37">
        <f>IF($A13="","",TEXT($A13,"yyyy-mm"))</f>
        <v/>
      </c>
      <c r="G13" s="38" t="n"/>
      <c r="H13" s="37" t="n"/>
    </row>
    <row r="14">
      <c r="A14" s="34" t="n"/>
      <c r="B14" s="35" t="n"/>
      <c r="C14" s="35" t="n"/>
      <c r="D14" s="35" t="n"/>
      <c r="E14" s="36" t="n"/>
      <c r="F14" s="37">
        <f>IF($A14="","",TEXT($A14,"yyyy-mm"))</f>
        <v/>
      </c>
      <c r="G14" s="38" t="n"/>
      <c r="H14" s="37" t="n"/>
    </row>
    <row r="15">
      <c r="A15" s="34" t="n"/>
      <c r="B15" s="35" t="n"/>
      <c r="C15" s="35" t="n"/>
      <c r="D15" s="35" t="n"/>
      <c r="E15" s="36" t="n"/>
      <c r="F15" s="37">
        <f>IF($A15="","",TEXT($A15,"yyyy-mm"))</f>
        <v/>
      </c>
      <c r="G15" s="38" t="n"/>
      <c r="H15" s="37" t="n"/>
    </row>
    <row r="16">
      <c r="A16" s="34" t="n"/>
      <c r="B16" s="35" t="n"/>
      <c r="C16" s="35" t="n"/>
      <c r="D16" s="35" t="n"/>
      <c r="E16" s="36" t="n"/>
      <c r="F16" s="37">
        <f>IF($A16="","",TEXT($A16,"yyyy-mm"))</f>
        <v/>
      </c>
      <c r="G16" s="38" t="n"/>
      <c r="H16" s="37" t="n"/>
    </row>
    <row r="17">
      <c r="A17" s="34" t="n"/>
      <c r="B17" s="35" t="n"/>
      <c r="C17" s="35" t="n"/>
      <c r="D17" s="35" t="n"/>
      <c r="E17" s="36" t="n"/>
      <c r="F17" s="37">
        <f>IF($A17="","",TEXT($A17,"yyyy-mm"))</f>
        <v/>
      </c>
      <c r="G17" s="38" t="n"/>
      <c r="H17" s="37" t="n"/>
    </row>
    <row r="18">
      <c r="A18" s="34" t="n"/>
      <c r="B18" s="35" t="n"/>
      <c r="C18" s="35" t="n"/>
      <c r="D18" s="35" t="n"/>
      <c r="E18" s="36" t="n"/>
      <c r="F18" s="37">
        <f>IF($A18="","",TEXT($A18,"yyyy-mm"))</f>
        <v/>
      </c>
      <c r="G18" s="38" t="n"/>
      <c r="H18" s="37" t="n"/>
    </row>
    <row r="19">
      <c r="A19" s="34" t="n"/>
      <c r="B19" s="35" t="n"/>
      <c r="C19" s="35" t="n"/>
      <c r="D19" s="35" t="n"/>
      <c r="E19" s="36" t="n"/>
      <c r="F19" s="37">
        <f>IF($A19="","",TEXT($A19,"yyyy-mm"))</f>
        <v/>
      </c>
      <c r="G19" s="38" t="n"/>
      <c r="H19" s="37" t="n"/>
    </row>
    <row r="20">
      <c r="A20" s="34" t="n"/>
      <c r="B20" s="35" t="n"/>
      <c r="C20" s="35" t="n"/>
      <c r="D20" s="35" t="n"/>
      <c r="E20" s="36" t="n"/>
      <c r="F20" s="37">
        <f>IF($A20="","",TEXT($A20,"yyyy-mm"))</f>
        <v/>
      </c>
      <c r="G20" s="38" t="n"/>
      <c r="H20" s="37" t="n"/>
    </row>
    <row r="21">
      <c r="A21" s="34" t="n"/>
      <c r="B21" s="35" t="n"/>
      <c r="C21" s="35" t="n"/>
      <c r="D21" s="35" t="n"/>
      <c r="E21" s="36" t="n"/>
      <c r="F21" s="37">
        <f>IF($A21="","",TEXT($A21,"yyyy-mm"))</f>
        <v/>
      </c>
      <c r="G21" s="38" t="n"/>
      <c r="H21" s="37" t="n"/>
    </row>
    <row r="22">
      <c r="A22" s="34" t="n"/>
      <c r="B22" s="35" t="n"/>
      <c r="C22" s="35" t="n"/>
      <c r="D22" s="35" t="n"/>
      <c r="E22" s="36" t="n"/>
      <c r="F22" s="37">
        <f>IF($A22="","",TEXT($A22,"yyyy-mm"))</f>
        <v/>
      </c>
      <c r="G22" s="38" t="n"/>
      <c r="H22" s="37" t="n"/>
    </row>
    <row r="23">
      <c r="A23" s="34" t="n"/>
      <c r="B23" s="35" t="n"/>
      <c r="C23" s="35" t="n"/>
      <c r="D23" s="35" t="n"/>
      <c r="E23" s="36" t="n"/>
      <c r="F23" s="37">
        <f>IF($A23="","",TEXT($A23,"yyyy-mm"))</f>
        <v/>
      </c>
      <c r="G23" s="38" t="n"/>
      <c r="H23" s="37" t="n"/>
    </row>
    <row r="24">
      <c r="A24" s="34" t="n"/>
      <c r="B24" s="35" t="n"/>
      <c r="C24" s="35" t="n"/>
      <c r="D24" s="35" t="n"/>
      <c r="E24" s="36" t="n"/>
      <c r="F24" s="37">
        <f>IF($A24="","",TEXT($A24,"yyyy-mm"))</f>
        <v/>
      </c>
      <c r="G24" s="38" t="n"/>
      <c r="H24" s="37" t="n"/>
    </row>
    <row r="25">
      <c r="A25" s="34" t="n"/>
      <c r="B25" s="35" t="n"/>
      <c r="C25" s="35" t="n"/>
      <c r="D25" s="35" t="n"/>
      <c r="E25" s="36" t="n"/>
      <c r="F25" s="37">
        <f>IF($A25="","",TEXT($A25,"yyyy-mm"))</f>
        <v/>
      </c>
      <c r="G25" s="38" t="n"/>
      <c r="H25" s="37" t="n"/>
    </row>
    <row r="26">
      <c r="A26" s="34" t="n"/>
      <c r="B26" s="35" t="n"/>
      <c r="C26" s="35" t="n"/>
      <c r="D26" s="35" t="n"/>
      <c r="E26" s="36" t="n"/>
      <c r="F26" s="37">
        <f>IF($A26="","",TEXT($A26,"yyyy-mm"))</f>
        <v/>
      </c>
      <c r="G26" s="38" t="n"/>
      <c r="H26" s="37" t="n"/>
    </row>
    <row r="27">
      <c r="A27" s="34" t="n"/>
      <c r="B27" s="35" t="n"/>
      <c r="C27" s="35" t="n"/>
      <c r="D27" s="35" t="n"/>
      <c r="E27" s="36" t="n"/>
      <c r="F27" s="37">
        <f>IF($A27="","",TEXT($A27,"yyyy-mm"))</f>
        <v/>
      </c>
      <c r="G27" s="38" t="n"/>
      <c r="H27" s="37" t="n"/>
    </row>
    <row r="28">
      <c r="A28" s="34" t="n"/>
      <c r="B28" s="35" t="n"/>
      <c r="C28" s="35" t="n"/>
      <c r="D28" s="35" t="n"/>
      <c r="E28" s="36" t="n"/>
      <c r="F28" s="37">
        <f>IF($A28="","",TEXT($A28,"yyyy-mm"))</f>
        <v/>
      </c>
      <c r="G28" s="38" t="n"/>
      <c r="H28" s="37" t="n"/>
    </row>
    <row r="29">
      <c r="A29" s="34" t="n"/>
      <c r="B29" s="35" t="n"/>
      <c r="C29" s="35" t="n"/>
      <c r="D29" s="35" t="n"/>
      <c r="E29" s="36" t="n"/>
      <c r="F29" s="37">
        <f>IF($A29="","",TEXT($A29,"yyyy-mm"))</f>
        <v/>
      </c>
      <c r="G29" s="38" t="n"/>
      <c r="H29" s="37" t="n"/>
    </row>
    <row r="30">
      <c r="A30" s="34" t="n"/>
      <c r="B30" s="35" t="n"/>
      <c r="C30" s="35" t="n"/>
      <c r="D30" s="35" t="n"/>
      <c r="E30" s="36" t="n"/>
      <c r="F30" s="37">
        <f>IF($A30="","",TEXT($A30,"yyyy-mm"))</f>
        <v/>
      </c>
      <c r="G30" s="38" t="n"/>
      <c r="H30" s="37" t="n"/>
    </row>
    <row r="31">
      <c r="A31" s="34" t="n"/>
      <c r="B31" s="35" t="n"/>
      <c r="C31" s="35" t="n"/>
      <c r="D31" s="35" t="n"/>
      <c r="E31" s="36" t="n"/>
      <c r="F31" s="37">
        <f>IF($A31="","",TEXT($A31,"yyyy-mm"))</f>
        <v/>
      </c>
      <c r="G31" s="38" t="n"/>
      <c r="H31" s="37" t="n"/>
    </row>
    <row r="32">
      <c r="A32" s="34" t="n"/>
      <c r="B32" s="35" t="n"/>
      <c r="C32" s="35" t="n"/>
      <c r="D32" s="35" t="n"/>
      <c r="E32" s="36" t="n"/>
      <c r="F32" s="37">
        <f>IF($A32="","",TEXT($A32,"yyyy-mm"))</f>
        <v/>
      </c>
      <c r="G32" s="38" t="n"/>
      <c r="H32" s="37" t="n"/>
    </row>
    <row r="33">
      <c r="A33" s="34" t="n"/>
      <c r="B33" s="35" t="n"/>
      <c r="C33" s="35" t="n"/>
      <c r="D33" s="35" t="n"/>
      <c r="E33" s="36" t="n"/>
      <c r="F33" s="37">
        <f>IF($A33="","",TEXT($A33,"yyyy-mm"))</f>
        <v/>
      </c>
      <c r="G33" s="38" t="n"/>
      <c r="H33" s="37" t="n"/>
    </row>
    <row r="34">
      <c r="A34" s="34" t="n"/>
      <c r="B34" s="35" t="n"/>
      <c r="C34" s="35" t="n"/>
      <c r="D34" s="35" t="n"/>
      <c r="E34" s="36" t="n"/>
      <c r="F34" s="37">
        <f>IF($A34="","",TEXT($A34,"yyyy-mm"))</f>
        <v/>
      </c>
      <c r="G34" s="38" t="n"/>
      <c r="H34" s="37" t="n"/>
    </row>
    <row r="35">
      <c r="A35" s="34" t="n"/>
      <c r="B35" s="35" t="n"/>
      <c r="C35" s="35" t="n"/>
      <c r="D35" s="35" t="n"/>
      <c r="E35" s="36" t="n"/>
      <c r="F35" s="37">
        <f>IF($A35="","",TEXT($A35,"yyyy-mm"))</f>
        <v/>
      </c>
      <c r="G35" s="38" t="n"/>
      <c r="H35" s="37" t="n"/>
    </row>
    <row r="36">
      <c r="A36" s="34" t="n"/>
      <c r="B36" s="35" t="n"/>
      <c r="C36" s="35" t="n"/>
      <c r="D36" s="35" t="n"/>
      <c r="E36" s="36" t="n"/>
      <c r="F36" s="37">
        <f>IF($A36="","",TEXT($A36,"yyyy-mm"))</f>
        <v/>
      </c>
      <c r="G36" s="38" t="n"/>
      <c r="H36" s="37" t="n"/>
    </row>
    <row r="37">
      <c r="A37" s="34" t="n"/>
      <c r="B37" s="35" t="n"/>
      <c r="C37" s="35" t="n"/>
      <c r="D37" s="35" t="n"/>
      <c r="E37" s="36" t="n"/>
      <c r="F37" s="37">
        <f>IF($A37="","",TEXT($A37,"yyyy-mm"))</f>
        <v/>
      </c>
      <c r="G37" s="38" t="n"/>
      <c r="H37" s="37" t="n"/>
    </row>
    <row r="38">
      <c r="A38" s="34" t="n"/>
      <c r="B38" s="35" t="n"/>
      <c r="C38" s="35" t="n"/>
      <c r="D38" s="35" t="n"/>
      <c r="E38" s="36" t="n"/>
      <c r="F38" s="37">
        <f>IF($A38="","",TEXT($A38,"yyyy-mm"))</f>
        <v/>
      </c>
      <c r="G38" s="38" t="n"/>
      <c r="H38" s="37" t="n"/>
    </row>
    <row r="39">
      <c r="A39" s="34" t="n"/>
      <c r="B39" s="35" t="n"/>
      <c r="C39" s="35" t="n"/>
      <c r="D39" s="35" t="n"/>
      <c r="E39" s="36" t="n"/>
      <c r="F39" s="37">
        <f>IF($A39="","",TEXT($A39,"yyyy-mm"))</f>
        <v/>
      </c>
      <c r="G39" s="38" t="n"/>
      <c r="H39" s="37" t="n"/>
    </row>
    <row r="40">
      <c r="A40" s="34" t="n"/>
      <c r="B40" s="35" t="n"/>
      <c r="C40" s="35" t="n"/>
      <c r="D40" s="35" t="n"/>
      <c r="E40" s="36" t="n"/>
      <c r="F40" s="37">
        <f>IF($A40="","",TEXT($A40,"yyyy-mm"))</f>
        <v/>
      </c>
      <c r="G40" s="38" t="n"/>
      <c r="H40" s="37" t="n"/>
    </row>
    <row r="41">
      <c r="A41" s="34" t="n"/>
      <c r="B41" s="35" t="n"/>
      <c r="C41" s="35" t="n"/>
      <c r="D41" s="35" t="n"/>
      <c r="E41" s="36" t="n"/>
      <c r="F41" s="37">
        <f>IF($A41="","",TEXT($A41,"yyyy-mm"))</f>
        <v/>
      </c>
      <c r="G41" s="38" t="n"/>
      <c r="H41" s="37" t="n"/>
    </row>
    <row r="42">
      <c r="A42" s="34" t="n"/>
      <c r="B42" s="35" t="n"/>
      <c r="C42" s="35" t="n"/>
      <c r="D42" s="35" t="n"/>
      <c r="E42" s="36" t="n"/>
      <c r="F42" s="37">
        <f>IF($A42="","",TEXT($A42,"yyyy-mm"))</f>
        <v/>
      </c>
      <c r="G42" s="38" t="n"/>
      <c r="H42" s="37" t="n"/>
    </row>
    <row r="43">
      <c r="A43" s="34" t="n"/>
      <c r="B43" s="35" t="n"/>
      <c r="C43" s="35" t="n"/>
      <c r="D43" s="35" t="n"/>
      <c r="E43" s="36" t="n"/>
      <c r="F43" s="37">
        <f>IF($A43="","",TEXT($A43,"yyyy-mm"))</f>
        <v/>
      </c>
      <c r="G43" s="38" t="n"/>
      <c r="H43" s="37" t="n"/>
    </row>
    <row r="44">
      <c r="A44" s="34" t="n"/>
      <c r="B44" s="35" t="n"/>
      <c r="C44" s="35" t="n"/>
      <c r="D44" s="35" t="n"/>
      <c r="E44" s="36" t="n"/>
      <c r="F44" s="37">
        <f>IF($A44="","",TEXT($A44,"yyyy-mm"))</f>
        <v/>
      </c>
      <c r="G44" s="38" t="n"/>
      <c r="H44" s="37" t="n"/>
    </row>
    <row r="45">
      <c r="A45" s="34" t="n"/>
      <c r="B45" s="35" t="n"/>
      <c r="C45" s="35" t="n"/>
      <c r="D45" s="35" t="n"/>
      <c r="E45" s="36" t="n"/>
      <c r="F45" s="37">
        <f>IF($A45="","",TEXT($A45,"yyyy-mm"))</f>
        <v/>
      </c>
      <c r="G45" s="38" t="n"/>
      <c r="H45" s="37" t="n"/>
    </row>
    <row r="46">
      <c r="A46" s="34" t="n"/>
      <c r="B46" s="35" t="n"/>
      <c r="C46" s="35" t="n"/>
      <c r="D46" s="35" t="n"/>
      <c r="E46" s="36" t="n"/>
      <c r="F46" s="37">
        <f>IF($A46="","",TEXT($A46,"yyyy-mm"))</f>
        <v/>
      </c>
      <c r="G46" s="38" t="n"/>
      <c r="H46" s="37" t="n"/>
    </row>
    <row r="47">
      <c r="A47" s="34" t="n"/>
      <c r="B47" s="35" t="n"/>
      <c r="C47" s="35" t="n"/>
      <c r="D47" s="35" t="n"/>
      <c r="E47" s="36" t="n"/>
      <c r="F47" s="37">
        <f>IF($A47="","",TEXT($A47,"yyyy-mm"))</f>
        <v/>
      </c>
      <c r="G47" s="38" t="n"/>
      <c r="H47" s="37" t="n"/>
    </row>
    <row r="48">
      <c r="A48" s="34" t="n"/>
      <c r="B48" s="35" t="n"/>
      <c r="C48" s="35" t="n"/>
      <c r="D48" s="35" t="n"/>
      <c r="E48" s="36" t="n"/>
      <c r="F48" s="37">
        <f>IF($A48="","",TEXT($A48,"yyyy-mm"))</f>
        <v/>
      </c>
      <c r="G48" s="38" t="n"/>
      <c r="H48" s="37" t="n"/>
    </row>
    <row r="49">
      <c r="A49" s="34" t="n"/>
      <c r="B49" s="35" t="n"/>
      <c r="C49" s="35" t="n"/>
      <c r="D49" s="35" t="n"/>
      <c r="E49" s="36" t="n"/>
      <c r="F49" s="37">
        <f>IF($A49="","",TEXT($A49,"yyyy-mm"))</f>
        <v/>
      </c>
      <c r="G49" s="38" t="n"/>
      <c r="H49" s="37" t="n"/>
    </row>
    <row r="50">
      <c r="A50" s="34" t="n"/>
      <c r="B50" s="35" t="n"/>
      <c r="C50" s="35" t="n"/>
      <c r="D50" s="35" t="n"/>
      <c r="E50" s="36" t="n"/>
      <c r="F50" s="37">
        <f>IF($A50="","",TEXT($A50,"yyyy-mm"))</f>
        <v/>
      </c>
      <c r="G50" s="38" t="n"/>
      <c r="H50" s="37" t="n"/>
    </row>
    <row r="51">
      <c r="A51" s="34" t="n"/>
      <c r="B51" s="35" t="n"/>
      <c r="C51" s="35" t="n"/>
      <c r="D51" s="35" t="n"/>
      <c r="E51" s="36" t="n"/>
      <c r="F51" s="37">
        <f>IF($A51="","",TEXT($A51,"yyyy-mm"))</f>
        <v/>
      </c>
      <c r="G51" s="38" t="n"/>
      <c r="H51" s="37" t="n"/>
    </row>
    <row r="52">
      <c r="A52" s="34" t="n"/>
      <c r="B52" s="35" t="n"/>
      <c r="C52" s="35" t="n"/>
      <c r="D52" s="35" t="n"/>
      <c r="E52" s="36" t="n"/>
      <c r="F52" s="37">
        <f>IF($A52="","",TEXT($A52,"yyyy-mm"))</f>
        <v/>
      </c>
      <c r="G52" s="38" t="n"/>
      <c r="H52" s="37" t="n"/>
    </row>
    <row r="53">
      <c r="A53" s="34" t="n"/>
      <c r="B53" s="35" t="n"/>
      <c r="C53" s="35" t="n"/>
      <c r="D53" s="35" t="n"/>
      <c r="E53" s="36" t="n"/>
      <c r="F53" s="37">
        <f>IF($A53="","",TEXT($A53,"yyyy-mm"))</f>
        <v/>
      </c>
      <c r="G53" s="38" t="n"/>
      <c r="H53" s="37" t="n"/>
    </row>
    <row r="54">
      <c r="A54" s="34" t="n"/>
      <c r="B54" s="35" t="n"/>
      <c r="C54" s="35" t="n"/>
      <c r="D54" s="35" t="n"/>
      <c r="E54" s="36" t="n"/>
      <c r="F54" s="37">
        <f>IF($A54="","",TEXT($A54,"yyyy-mm"))</f>
        <v/>
      </c>
      <c r="G54" s="38" t="n"/>
      <c r="H54" s="37" t="n"/>
    </row>
    <row r="55">
      <c r="A55" s="34" t="n"/>
      <c r="B55" s="35" t="n"/>
      <c r="C55" s="35" t="n"/>
      <c r="D55" s="35" t="n"/>
      <c r="E55" s="36" t="n"/>
      <c r="F55" s="37">
        <f>IF($A55="","",TEXT($A55,"yyyy-mm"))</f>
        <v/>
      </c>
      <c r="G55" s="38" t="n"/>
      <c r="H55" s="37" t="n"/>
    </row>
    <row r="56">
      <c r="A56" s="34" t="n"/>
      <c r="B56" s="35" t="n"/>
      <c r="C56" s="35" t="n"/>
      <c r="D56" s="35" t="n"/>
      <c r="E56" s="36" t="n"/>
      <c r="F56" s="37">
        <f>IF($A56="","",TEXT($A56,"yyyy-mm"))</f>
        <v/>
      </c>
      <c r="G56" s="38" t="n"/>
      <c r="H56" s="37" t="n"/>
    </row>
    <row r="57">
      <c r="A57" s="34" t="n"/>
      <c r="B57" s="35" t="n"/>
      <c r="C57" s="35" t="n"/>
      <c r="D57" s="35" t="n"/>
      <c r="E57" s="36" t="n"/>
      <c r="F57" s="37">
        <f>IF($A57="","",TEXT($A57,"yyyy-mm"))</f>
        <v/>
      </c>
      <c r="G57" s="38" t="n"/>
      <c r="H57" s="37" t="n"/>
    </row>
    <row r="58">
      <c r="A58" s="34" t="n"/>
      <c r="B58" s="35" t="n"/>
      <c r="C58" s="35" t="n"/>
      <c r="D58" s="35" t="n"/>
      <c r="E58" s="36" t="n"/>
      <c r="F58" s="37">
        <f>IF($A58="","",TEXT($A58,"yyyy-mm"))</f>
        <v/>
      </c>
      <c r="G58" s="38" t="n"/>
      <c r="H58" s="37" t="n"/>
    </row>
    <row r="59">
      <c r="A59" s="34" t="n"/>
      <c r="B59" s="35" t="n"/>
      <c r="C59" s="35" t="n"/>
      <c r="D59" s="35" t="n"/>
      <c r="E59" s="36" t="n"/>
      <c r="F59" s="37">
        <f>IF($A59="","",TEXT($A59,"yyyy-mm"))</f>
        <v/>
      </c>
      <c r="G59" s="38" t="n"/>
      <c r="H59" s="37" t="n"/>
    </row>
    <row r="60">
      <c r="A60" s="34" t="n"/>
      <c r="B60" s="35" t="n"/>
      <c r="C60" s="35" t="n"/>
      <c r="D60" s="35" t="n"/>
      <c r="E60" s="36" t="n"/>
      <c r="F60" s="37">
        <f>IF($A60="","",TEXT($A60,"yyyy-mm"))</f>
        <v/>
      </c>
      <c r="G60" s="38" t="n"/>
      <c r="H60" s="37" t="n"/>
    </row>
    <row r="61">
      <c r="A61" s="34" t="n"/>
      <c r="B61" s="35" t="n"/>
      <c r="C61" s="35" t="n"/>
      <c r="D61" s="35" t="n"/>
      <c r="E61" s="36" t="n"/>
      <c r="F61" s="37">
        <f>IF($A61="","",TEXT($A61,"yyyy-mm"))</f>
        <v/>
      </c>
      <c r="G61" s="38" t="n"/>
      <c r="H61" s="37" t="n"/>
    </row>
    <row r="62">
      <c r="A62" s="34" t="n"/>
      <c r="B62" s="35" t="n"/>
      <c r="C62" s="35" t="n"/>
      <c r="D62" s="35" t="n"/>
      <c r="E62" s="36" t="n"/>
      <c r="F62" s="37">
        <f>IF($A62="","",TEXT($A62,"yyyy-mm"))</f>
        <v/>
      </c>
      <c r="G62" s="38" t="n"/>
      <c r="H62" s="37" t="n"/>
    </row>
    <row r="63">
      <c r="A63" s="34" t="n"/>
      <c r="B63" s="35" t="n"/>
      <c r="C63" s="35" t="n"/>
      <c r="D63" s="35" t="n"/>
      <c r="E63" s="36" t="n"/>
      <c r="F63" s="37">
        <f>IF($A63="","",TEXT($A63,"yyyy-mm"))</f>
        <v/>
      </c>
      <c r="G63" s="38" t="n"/>
      <c r="H63" s="37" t="n"/>
    </row>
    <row r="64">
      <c r="A64" s="34" t="n"/>
      <c r="B64" s="35" t="n"/>
      <c r="C64" s="35" t="n"/>
      <c r="D64" s="35" t="n"/>
      <c r="E64" s="36" t="n"/>
      <c r="F64" s="37">
        <f>IF($A64="","",TEXT($A64,"yyyy-mm"))</f>
        <v/>
      </c>
      <c r="G64" s="38" t="n"/>
      <c r="H64" s="37" t="n"/>
    </row>
    <row r="65">
      <c r="A65" s="34" t="n"/>
      <c r="B65" s="35" t="n"/>
      <c r="C65" s="35" t="n"/>
      <c r="D65" s="35" t="n"/>
      <c r="E65" s="36" t="n"/>
      <c r="F65" s="37">
        <f>IF($A65="","",TEXT($A65,"yyyy-mm"))</f>
        <v/>
      </c>
      <c r="G65" s="38" t="n"/>
      <c r="H65" s="37" t="n"/>
    </row>
    <row r="66">
      <c r="A66" s="34" t="n"/>
      <c r="B66" s="35" t="n"/>
      <c r="C66" s="35" t="n"/>
      <c r="D66" s="35" t="n"/>
      <c r="E66" s="36" t="n"/>
      <c r="F66" s="37">
        <f>IF($A66="","",TEXT($A66,"yyyy-mm"))</f>
        <v/>
      </c>
      <c r="G66" s="38" t="n"/>
      <c r="H66" s="37" t="n"/>
    </row>
    <row r="67">
      <c r="A67" s="34" t="n"/>
      <c r="B67" s="35" t="n"/>
      <c r="C67" s="35" t="n"/>
      <c r="D67" s="35" t="n"/>
      <c r="E67" s="36" t="n"/>
      <c r="F67" s="37">
        <f>IF($A67="","",TEXT($A67,"yyyy-mm"))</f>
        <v/>
      </c>
      <c r="G67" s="38" t="n"/>
      <c r="H67" s="37" t="n"/>
    </row>
    <row r="68">
      <c r="A68" s="34" t="n"/>
      <c r="B68" s="35" t="n"/>
      <c r="C68" s="35" t="n"/>
      <c r="D68" s="35" t="n"/>
      <c r="E68" s="36" t="n"/>
      <c r="F68" s="37">
        <f>IF($A68="","",TEXT($A68,"yyyy-mm"))</f>
        <v/>
      </c>
      <c r="G68" s="38" t="n"/>
      <c r="H68" s="37" t="n"/>
    </row>
    <row r="69">
      <c r="A69" s="34" t="n"/>
      <c r="B69" s="35" t="n"/>
      <c r="C69" s="35" t="n"/>
      <c r="D69" s="35" t="n"/>
      <c r="E69" s="36" t="n"/>
      <c r="F69" s="37">
        <f>IF($A69="","",TEXT($A69,"yyyy-mm"))</f>
        <v/>
      </c>
      <c r="G69" s="38" t="n"/>
      <c r="H69" s="37" t="n"/>
    </row>
    <row r="70">
      <c r="A70" s="34" t="n"/>
      <c r="B70" s="35" t="n"/>
      <c r="C70" s="35" t="n"/>
      <c r="D70" s="35" t="n"/>
      <c r="E70" s="36" t="n"/>
      <c r="F70" s="37">
        <f>IF($A70="","",TEXT($A70,"yyyy-mm"))</f>
        <v/>
      </c>
      <c r="G70" s="38" t="n"/>
      <c r="H70" s="37" t="n"/>
    </row>
    <row r="71">
      <c r="A71" s="34" t="n"/>
      <c r="B71" s="35" t="n"/>
      <c r="C71" s="35" t="n"/>
      <c r="D71" s="35" t="n"/>
      <c r="E71" s="36" t="n"/>
      <c r="F71" s="37">
        <f>IF($A71="","",TEXT($A71,"yyyy-mm"))</f>
        <v/>
      </c>
      <c r="G71" s="38" t="n"/>
      <c r="H71" s="37" t="n"/>
    </row>
    <row r="72">
      <c r="A72" s="34" t="n"/>
      <c r="B72" s="35" t="n"/>
      <c r="C72" s="35" t="n"/>
      <c r="D72" s="35" t="n"/>
      <c r="E72" s="36" t="n"/>
      <c r="F72" s="37">
        <f>IF($A72="","",TEXT($A72,"yyyy-mm"))</f>
        <v/>
      </c>
      <c r="G72" s="38" t="n"/>
      <c r="H72" s="37" t="n"/>
    </row>
    <row r="73">
      <c r="A73" s="34" t="n"/>
      <c r="B73" s="35" t="n"/>
      <c r="C73" s="35" t="n"/>
      <c r="D73" s="35" t="n"/>
      <c r="E73" s="36" t="n"/>
      <c r="F73" s="37">
        <f>IF($A73="","",TEXT($A73,"yyyy-mm"))</f>
        <v/>
      </c>
      <c r="G73" s="38" t="n"/>
      <c r="H73" s="37" t="n"/>
    </row>
    <row r="74">
      <c r="A74" s="34" t="n"/>
      <c r="B74" s="35" t="n"/>
      <c r="C74" s="35" t="n"/>
      <c r="D74" s="35" t="n"/>
      <c r="E74" s="36" t="n"/>
      <c r="F74" s="37">
        <f>IF($A74="","",TEXT($A74,"yyyy-mm"))</f>
        <v/>
      </c>
      <c r="G74" s="38" t="n"/>
      <c r="H74" s="37" t="n"/>
    </row>
    <row r="75">
      <c r="A75" s="34" t="n"/>
      <c r="B75" s="35" t="n"/>
      <c r="C75" s="35" t="n"/>
      <c r="D75" s="35" t="n"/>
      <c r="E75" s="36" t="n"/>
      <c r="F75" s="37">
        <f>IF($A75="","",TEXT($A75,"yyyy-mm"))</f>
        <v/>
      </c>
      <c r="G75" s="38" t="n"/>
      <c r="H75" s="37" t="n"/>
    </row>
    <row r="76">
      <c r="A76" s="34" t="n"/>
      <c r="B76" s="35" t="n"/>
      <c r="C76" s="35" t="n"/>
      <c r="D76" s="35" t="n"/>
      <c r="E76" s="36" t="n"/>
      <c r="F76" s="37">
        <f>IF($A76="","",TEXT($A76,"yyyy-mm"))</f>
        <v/>
      </c>
      <c r="G76" s="38" t="n"/>
      <c r="H76" s="37" t="n"/>
    </row>
    <row r="77">
      <c r="A77" s="34" t="n"/>
      <c r="B77" s="35" t="n"/>
      <c r="C77" s="35" t="n"/>
      <c r="D77" s="35" t="n"/>
      <c r="E77" s="36" t="n"/>
      <c r="F77" s="37">
        <f>IF($A77="","",TEXT($A77,"yyyy-mm"))</f>
        <v/>
      </c>
      <c r="G77" s="38" t="n"/>
      <c r="H77" s="37" t="n"/>
    </row>
    <row r="78">
      <c r="A78" s="34" t="n"/>
      <c r="B78" s="35" t="n"/>
      <c r="C78" s="35" t="n"/>
      <c r="D78" s="35" t="n"/>
      <c r="E78" s="36" t="n"/>
      <c r="F78" s="37">
        <f>IF($A78="","",TEXT($A78,"yyyy-mm"))</f>
        <v/>
      </c>
      <c r="G78" s="38" t="n"/>
      <c r="H78" s="37" t="n"/>
    </row>
    <row r="79">
      <c r="A79" s="34" t="n"/>
      <c r="B79" s="35" t="n"/>
      <c r="C79" s="35" t="n"/>
      <c r="D79" s="35" t="n"/>
      <c r="E79" s="36" t="n"/>
      <c r="F79" s="37">
        <f>IF($A79="","",TEXT($A79,"yyyy-mm"))</f>
        <v/>
      </c>
      <c r="G79" s="38" t="n"/>
      <c r="H79" s="37" t="n"/>
    </row>
    <row r="80">
      <c r="A80" s="34" t="n"/>
      <c r="B80" s="35" t="n"/>
      <c r="C80" s="35" t="n"/>
      <c r="D80" s="35" t="n"/>
      <c r="E80" s="36" t="n"/>
      <c r="F80" s="37">
        <f>IF($A80="","",TEXT($A80,"yyyy-mm"))</f>
        <v/>
      </c>
      <c r="G80" s="38" t="n"/>
      <c r="H80" s="37" t="n"/>
    </row>
    <row r="81">
      <c r="A81" s="34" t="n"/>
      <c r="B81" s="35" t="n"/>
      <c r="C81" s="35" t="n"/>
      <c r="D81" s="35" t="n"/>
      <c r="E81" s="36" t="n"/>
      <c r="F81" s="37">
        <f>IF($A81="","",TEXT($A81,"yyyy-mm"))</f>
        <v/>
      </c>
      <c r="G81" s="38" t="n"/>
      <c r="H81" s="37" t="n"/>
    </row>
    <row r="82">
      <c r="A82" s="34" t="n"/>
      <c r="B82" s="35" t="n"/>
      <c r="C82" s="35" t="n"/>
      <c r="D82" s="35" t="n"/>
      <c r="E82" s="36" t="n"/>
      <c r="F82" s="37">
        <f>IF($A82="","",TEXT($A82,"yyyy-mm"))</f>
        <v/>
      </c>
      <c r="G82" s="38" t="n"/>
      <c r="H82" s="37" t="n"/>
    </row>
    <row r="83">
      <c r="A83" s="34" t="n"/>
      <c r="B83" s="35" t="n"/>
      <c r="C83" s="35" t="n"/>
      <c r="D83" s="35" t="n"/>
      <c r="E83" s="36" t="n"/>
      <c r="F83" s="37">
        <f>IF($A83="","",TEXT($A83,"yyyy-mm"))</f>
        <v/>
      </c>
      <c r="G83" s="38" t="n"/>
      <c r="H83" s="37" t="n"/>
    </row>
    <row r="84">
      <c r="A84" s="34" t="n"/>
      <c r="B84" s="35" t="n"/>
      <c r="C84" s="35" t="n"/>
      <c r="D84" s="35" t="n"/>
      <c r="E84" s="36" t="n"/>
      <c r="F84" s="37">
        <f>IF($A84="","",TEXT($A84,"yyyy-mm"))</f>
        <v/>
      </c>
      <c r="G84" s="38" t="n"/>
      <c r="H84" s="37" t="n"/>
    </row>
    <row r="85">
      <c r="A85" s="34" t="n"/>
      <c r="B85" s="35" t="n"/>
      <c r="C85" s="35" t="n"/>
      <c r="D85" s="35" t="n"/>
      <c r="E85" s="36" t="n"/>
      <c r="F85" s="37">
        <f>IF($A85="","",TEXT($A85,"yyyy-mm"))</f>
        <v/>
      </c>
      <c r="G85" s="38" t="n"/>
      <c r="H85" s="37" t="n"/>
    </row>
    <row r="86">
      <c r="A86" s="34" t="n"/>
      <c r="B86" s="35" t="n"/>
      <c r="C86" s="35" t="n"/>
      <c r="D86" s="35" t="n"/>
      <c r="E86" s="36" t="n"/>
      <c r="F86" s="37">
        <f>IF($A86="","",TEXT($A86,"yyyy-mm"))</f>
        <v/>
      </c>
      <c r="G86" s="38" t="n"/>
      <c r="H86" s="37" t="n"/>
    </row>
    <row r="87">
      <c r="A87" s="34" t="n"/>
      <c r="B87" s="35" t="n"/>
      <c r="C87" s="35" t="n"/>
      <c r="D87" s="35" t="n"/>
      <c r="E87" s="36" t="n"/>
      <c r="F87" s="37">
        <f>IF($A87="","",TEXT($A87,"yyyy-mm"))</f>
        <v/>
      </c>
      <c r="G87" s="38" t="n"/>
      <c r="H87" s="37" t="n"/>
    </row>
    <row r="88">
      <c r="A88" s="34" t="n"/>
      <c r="B88" s="35" t="n"/>
      <c r="C88" s="35" t="n"/>
      <c r="D88" s="35" t="n"/>
      <c r="E88" s="36" t="n"/>
      <c r="F88" s="37">
        <f>IF($A88="","",TEXT($A88,"yyyy-mm"))</f>
        <v/>
      </c>
      <c r="G88" s="38" t="n"/>
      <c r="H88" s="37" t="n"/>
    </row>
    <row r="89">
      <c r="A89" s="34" t="n"/>
      <c r="B89" s="35" t="n"/>
      <c r="C89" s="35" t="n"/>
      <c r="D89" s="35" t="n"/>
      <c r="E89" s="36" t="n"/>
      <c r="F89" s="37">
        <f>IF($A89="","",TEXT($A89,"yyyy-mm"))</f>
        <v/>
      </c>
      <c r="G89" s="38" t="n"/>
      <c r="H89" s="37" t="n"/>
    </row>
    <row r="90">
      <c r="A90" s="34" t="n"/>
      <c r="B90" s="35" t="n"/>
      <c r="C90" s="35" t="n"/>
      <c r="D90" s="35" t="n"/>
      <c r="E90" s="36" t="n"/>
      <c r="F90" s="37">
        <f>IF($A90="","",TEXT($A90,"yyyy-mm"))</f>
        <v/>
      </c>
      <c r="G90" s="38" t="n"/>
      <c r="H90" s="37" t="n"/>
    </row>
    <row r="91">
      <c r="A91" s="34" t="n"/>
      <c r="B91" s="35" t="n"/>
      <c r="C91" s="35" t="n"/>
      <c r="D91" s="35" t="n"/>
      <c r="E91" s="36" t="n"/>
      <c r="F91" s="37">
        <f>IF($A91="","",TEXT($A91,"yyyy-mm"))</f>
        <v/>
      </c>
      <c r="G91" s="38" t="n"/>
      <c r="H91" s="37" t="n"/>
    </row>
    <row r="92">
      <c r="A92" s="34" t="n"/>
      <c r="B92" s="35" t="n"/>
      <c r="C92" s="35" t="n"/>
      <c r="D92" s="35" t="n"/>
      <c r="E92" s="36" t="n"/>
      <c r="F92" s="37">
        <f>IF($A92="","",TEXT($A92,"yyyy-mm"))</f>
        <v/>
      </c>
      <c r="G92" s="38" t="n"/>
      <c r="H92" s="37" t="n"/>
    </row>
    <row r="93">
      <c r="A93" s="34" t="n"/>
      <c r="B93" s="35" t="n"/>
      <c r="C93" s="35" t="n"/>
      <c r="D93" s="35" t="n"/>
      <c r="E93" s="36" t="n"/>
      <c r="F93" s="37">
        <f>IF($A93="","",TEXT($A93,"yyyy-mm"))</f>
        <v/>
      </c>
      <c r="G93" s="38" t="n"/>
      <c r="H93" s="37" t="n"/>
    </row>
    <row r="94">
      <c r="A94" s="34" t="n"/>
      <c r="B94" s="35" t="n"/>
      <c r="C94" s="35" t="n"/>
      <c r="D94" s="35" t="n"/>
      <c r="E94" s="36" t="n"/>
      <c r="F94" s="37">
        <f>IF($A94="","",TEXT($A94,"yyyy-mm"))</f>
        <v/>
      </c>
      <c r="G94" s="38" t="n"/>
      <c r="H94" s="37" t="n"/>
    </row>
    <row r="95">
      <c r="A95" s="34" t="n"/>
      <c r="B95" s="35" t="n"/>
      <c r="C95" s="35" t="n"/>
      <c r="D95" s="35" t="n"/>
      <c r="E95" s="36" t="n"/>
      <c r="F95" s="37">
        <f>IF($A95="","",TEXT($A95,"yyyy-mm"))</f>
        <v/>
      </c>
      <c r="G95" s="38" t="n"/>
      <c r="H95" s="37" t="n"/>
    </row>
    <row r="96">
      <c r="A96" s="34" t="n"/>
      <c r="B96" s="35" t="n"/>
      <c r="C96" s="35" t="n"/>
      <c r="D96" s="35" t="n"/>
      <c r="E96" s="36" t="n"/>
      <c r="F96" s="37">
        <f>IF($A96="","",TEXT($A96,"yyyy-mm"))</f>
        <v/>
      </c>
      <c r="G96" s="38" t="n"/>
      <c r="H96" s="37" t="n"/>
    </row>
    <row r="97">
      <c r="A97" s="34" t="n"/>
      <c r="B97" s="35" t="n"/>
      <c r="C97" s="35" t="n"/>
      <c r="D97" s="35" t="n"/>
      <c r="E97" s="36" t="n"/>
      <c r="F97" s="37">
        <f>IF($A97="","",TEXT($A97,"yyyy-mm"))</f>
        <v/>
      </c>
      <c r="G97" s="38" t="n"/>
      <c r="H97" s="37" t="n"/>
    </row>
    <row r="98">
      <c r="A98" s="34" t="n"/>
      <c r="B98" s="35" t="n"/>
      <c r="C98" s="35" t="n"/>
      <c r="D98" s="35" t="n"/>
      <c r="E98" s="36" t="n"/>
      <c r="F98" s="37">
        <f>IF($A98="","",TEXT($A98,"yyyy-mm"))</f>
        <v/>
      </c>
      <c r="G98" s="38" t="n"/>
      <c r="H98" s="37" t="n"/>
    </row>
    <row r="99">
      <c r="A99" s="34" t="n"/>
      <c r="B99" s="35" t="n"/>
      <c r="C99" s="35" t="n"/>
      <c r="D99" s="35" t="n"/>
      <c r="E99" s="36" t="n"/>
      <c r="F99" s="37">
        <f>IF($A99="","",TEXT($A99,"yyyy-mm"))</f>
        <v/>
      </c>
      <c r="G99" s="38" t="n"/>
      <c r="H99" s="37" t="n"/>
    </row>
    <row r="100">
      <c r="A100" s="34" t="n"/>
      <c r="B100" s="35" t="n"/>
      <c r="C100" s="35" t="n"/>
      <c r="D100" s="35" t="n"/>
      <c r="E100" s="36" t="n"/>
      <c r="F100" s="37">
        <f>IF($A100="","",TEXT($A100,"yyyy-mm"))</f>
        <v/>
      </c>
      <c r="G100" s="38" t="n"/>
      <c r="H100" s="37" t="n"/>
    </row>
    <row r="101">
      <c r="A101" s="34" t="n"/>
      <c r="B101" s="35" t="n"/>
      <c r="C101" s="35" t="n"/>
      <c r="D101" s="35" t="n"/>
      <c r="E101" s="36" t="n"/>
      <c r="F101" s="37">
        <f>IF($A101="","",TEXT($A101,"yyyy-mm"))</f>
        <v/>
      </c>
      <c r="G101" s="38" t="n"/>
      <c r="H101" s="37" t="n"/>
    </row>
    <row r="102">
      <c r="A102" s="34" t="n"/>
      <c r="B102" s="35" t="n"/>
      <c r="C102" s="35" t="n"/>
      <c r="D102" s="35" t="n"/>
      <c r="E102" s="36" t="n"/>
      <c r="F102" s="37">
        <f>IF($A102="","",TEXT($A102,"yyyy-mm"))</f>
        <v/>
      </c>
      <c r="G102" s="38" t="n"/>
      <c r="H102" s="37" t="n"/>
    </row>
    <row r="103">
      <c r="A103" s="34" t="n"/>
      <c r="B103" s="35" t="n"/>
      <c r="C103" s="35" t="n"/>
      <c r="D103" s="35" t="n"/>
      <c r="E103" s="36" t="n"/>
      <c r="F103" s="37">
        <f>IF($A103="","",TEXT($A103,"yyyy-mm"))</f>
        <v/>
      </c>
      <c r="G103" s="38" t="n"/>
      <c r="H103" s="37" t="n"/>
    </row>
    <row r="104">
      <c r="A104" s="34" t="n"/>
      <c r="B104" s="35" t="n"/>
      <c r="C104" s="35" t="n"/>
      <c r="D104" s="35" t="n"/>
      <c r="E104" s="36" t="n"/>
      <c r="F104" s="37">
        <f>IF($A104="","",TEXT($A104,"yyyy-mm"))</f>
        <v/>
      </c>
      <c r="G104" s="38" t="n"/>
      <c r="H104" s="37" t="n"/>
    </row>
    <row r="105">
      <c r="A105" s="34" t="n"/>
      <c r="B105" s="35" t="n"/>
      <c r="C105" s="35" t="n"/>
      <c r="D105" s="35" t="n"/>
      <c r="E105" s="36" t="n"/>
      <c r="F105" s="37">
        <f>IF($A105="","",TEXT($A105,"yyyy-mm"))</f>
        <v/>
      </c>
      <c r="G105" s="38" t="n"/>
      <c r="H105" s="37" t="n"/>
    </row>
    <row r="106">
      <c r="A106" s="34" t="n"/>
      <c r="B106" s="35" t="n"/>
      <c r="C106" s="35" t="n"/>
      <c r="D106" s="35" t="n"/>
      <c r="E106" s="36" t="n"/>
      <c r="F106" s="37">
        <f>IF($A106="","",TEXT($A106,"yyyy-mm"))</f>
        <v/>
      </c>
      <c r="G106" s="38" t="n"/>
      <c r="H106" s="37" t="n"/>
    </row>
    <row r="107">
      <c r="A107" s="34" t="n"/>
      <c r="B107" s="35" t="n"/>
      <c r="C107" s="35" t="n"/>
      <c r="D107" s="35" t="n"/>
      <c r="E107" s="36" t="n"/>
      <c r="F107" s="37">
        <f>IF($A107="","",TEXT($A107,"yyyy-mm"))</f>
        <v/>
      </c>
      <c r="G107" s="38" t="n"/>
      <c r="H107" s="37" t="n"/>
    </row>
    <row r="108">
      <c r="A108" s="34" t="n"/>
      <c r="B108" s="35" t="n"/>
      <c r="C108" s="35" t="n"/>
      <c r="D108" s="35" t="n"/>
      <c r="E108" s="36" t="n"/>
      <c r="F108" s="37">
        <f>IF($A108="","",TEXT($A108,"yyyy-mm"))</f>
        <v/>
      </c>
      <c r="G108" s="38" t="n"/>
      <c r="H108" s="37" t="n"/>
    </row>
    <row r="109">
      <c r="A109" s="34" t="n"/>
      <c r="B109" s="35" t="n"/>
      <c r="C109" s="35" t="n"/>
      <c r="D109" s="35" t="n"/>
      <c r="E109" s="36" t="n"/>
      <c r="F109" s="37">
        <f>IF($A109="","",TEXT($A109,"yyyy-mm"))</f>
        <v/>
      </c>
      <c r="G109" s="38" t="n"/>
      <c r="H109" s="37" t="n"/>
    </row>
    <row r="110">
      <c r="A110" s="34" t="n"/>
      <c r="B110" s="35" t="n"/>
      <c r="C110" s="35" t="n"/>
      <c r="D110" s="35" t="n"/>
      <c r="E110" s="36" t="n"/>
      <c r="F110" s="37">
        <f>IF($A110="","",TEXT($A110,"yyyy-mm"))</f>
        <v/>
      </c>
      <c r="G110" s="38" t="n"/>
      <c r="H110" s="37" t="n"/>
    </row>
    <row r="111">
      <c r="A111" s="34" t="n"/>
      <c r="B111" s="35" t="n"/>
      <c r="C111" s="35" t="n"/>
      <c r="D111" s="35" t="n"/>
      <c r="E111" s="36" t="n"/>
      <c r="F111" s="37">
        <f>IF($A111="","",TEXT($A111,"yyyy-mm"))</f>
        <v/>
      </c>
      <c r="G111" s="38" t="n"/>
      <c r="H111" s="37" t="n"/>
    </row>
    <row r="112">
      <c r="A112" s="34" t="n"/>
      <c r="B112" s="35" t="n"/>
      <c r="C112" s="35" t="n"/>
      <c r="D112" s="35" t="n"/>
      <c r="E112" s="36" t="n"/>
      <c r="F112" s="37">
        <f>IF($A112="","",TEXT($A112,"yyyy-mm"))</f>
        <v/>
      </c>
      <c r="G112" s="38" t="n"/>
      <c r="H112" s="37" t="n"/>
    </row>
    <row r="113">
      <c r="A113" s="34" t="n"/>
      <c r="B113" s="35" t="n"/>
      <c r="C113" s="35" t="n"/>
      <c r="D113" s="35" t="n"/>
      <c r="E113" s="36" t="n"/>
      <c r="F113" s="37">
        <f>IF($A113="","",TEXT($A113,"yyyy-mm"))</f>
        <v/>
      </c>
      <c r="G113" s="38" t="n"/>
      <c r="H113" s="37" t="n"/>
    </row>
    <row r="114">
      <c r="A114" s="34" t="n"/>
      <c r="B114" s="35" t="n"/>
      <c r="C114" s="35" t="n"/>
      <c r="D114" s="35" t="n"/>
      <c r="E114" s="36" t="n"/>
      <c r="F114" s="37">
        <f>IF($A114="","",TEXT($A114,"yyyy-mm"))</f>
        <v/>
      </c>
      <c r="G114" s="38" t="n"/>
      <c r="H114" s="37" t="n"/>
    </row>
    <row r="115">
      <c r="A115" s="34" t="n"/>
      <c r="B115" s="35" t="n"/>
      <c r="C115" s="35" t="n"/>
      <c r="D115" s="35" t="n"/>
      <c r="E115" s="36" t="n"/>
      <c r="F115" s="37">
        <f>IF($A115="","",TEXT($A115,"yyyy-mm"))</f>
        <v/>
      </c>
      <c r="G115" s="38" t="n"/>
      <c r="H115" s="37" t="n"/>
    </row>
    <row r="116">
      <c r="A116" s="34" t="n"/>
      <c r="B116" s="35" t="n"/>
      <c r="C116" s="35" t="n"/>
      <c r="D116" s="35" t="n"/>
      <c r="E116" s="36" t="n"/>
      <c r="F116" s="37">
        <f>IF($A116="","",TEXT($A116,"yyyy-mm"))</f>
        <v/>
      </c>
      <c r="G116" s="38" t="n"/>
      <c r="H116" s="37" t="n"/>
    </row>
    <row r="117">
      <c r="A117" s="34" t="n"/>
      <c r="B117" s="35" t="n"/>
      <c r="C117" s="35" t="n"/>
      <c r="D117" s="35" t="n"/>
      <c r="E117" s="36" t="n"/>
      <c r="F117" s="37">
        <f>IF($A117="","",TEXT($A117,"yyyy-mm"))</f>
        <v/>
      </c>
      <c r="G117" s="38" t="n"/>
      <c r="H117" s="37" t="n"/>
    </row>
    <row r="118">
      <c r="A118" s="34" t="n"/>
      <c r="B118" s="35" t="n"/>
      <c r="C118" s="35" t="n"/>
      <c r="D118" s="35" t="n"/>
      <c r="E118" s="36" t="n"/>
      <c r="F118" s="37">
        <f>IF($A118="","",TEXT($A118,"yyyy-mm"))</f>
        <v/>
      </c>
      <c r="G118" s="38" t="n"/>
      <c r="H118" s="37" t="n"/>
    </row>
    <row r="119">
      <c r="A119" s="34" t="n"/>
      <c r="B119" s="35" t="n"/>
      <c r="C119" s="35" t="n"/>
      <c r="D119" s="35" t="n"/>
      <c r="E119" s="36" t="n"/>
      <c r="F119" s="37">
        <f>IF($A119="","",TEXT($A119,"yyyy-mm"))</f>
        <v/>
      </c>
      <c r="G119" s="38" t="n"/>
      <c r="H119" s="37" t="n"/>
    </row>
    <row r="120">
      <c r="A120" s="34" t="n"/>
      <c r="B120" s="35" t="n"/>
      <c r="C120" s="35" t="n"/>
      <c r="D120" s="35" t="n"/>
      <c r="E120" s="36" t="n"/>
      <c r="F120" s="37">
        <f>IF($A120="","",TEXT($A120,"yyyy-mm"))</f>
        <v/>
      </c>
      <c r="G120" s="38" t="n"/>
      <c r="H120" s="37" t="n"/>
    </row>
    <row r="121">
      <c r="A121" s="34" t="n"/>
      <c r="B121" s="35" t="n"/>
      <c r="C121" s="35" t="n"/>
      <c r="D121" s="35" t="n"/>
      <c r="E121" s="36" t="n"/>
      <c r="F121" s="37">
        <f>IF($A121="","",TEXT($A121,"yyyy-mm"))</f>
        <v/>
      </c>
      <c r="G121" s="38" t="n"/>
      <c r="H121" s="37" t="n"/>
    </row>
    <row r="122">
      <c r="A122" s="34" t="n"/>
      <c r="B122" s="35" t="n"/>
      <c r="C122" s="35" t="n"/>
      <c r="D122" s="35" t="n"/>
      <c r="E122" s="36" t="n"/>
      <c r="F122" s="37">
        <f>IF($A122="","",TEXT($A122,"yyyy-mm"))</f>
        <v/>
      </c>
      <c r="G122" s="38" t="n"/>
      <c r="H122" s="37" t="n"/>
    </row>
    <row r="123">
      <c r="A123" s="34" t="n"/>
      <c r="B123" s="35" t="n"/>
      <c r="C123" s="35" t="n"/>
      <c r="D123" s="35" t="n"/>
      <c r="E123" s="36" t="n"/>
      <c r="F123" s="37">
        <f>IF($A123="","",TEXT($A123,"yyyy-mm"))</f>
        <v/>
      </c>
      <c r="G123" s="38" t="n"/>
      <c r="H123" s="37" t="n"/>
    </row>
    <row r="124">
      <c r="A124" s="34" t="n"/>
      <c r="B124" s="35" t="n"/>
      <c r="C124" s="35" t="n"/>
      <c r="D124" s="35" t="n"/>
      <c r="E124" s="36" t="n"/>
      <c r="F124" s="37">
        <f>IF($A124="","",TEXT($A124,"yyyy-mm"))</f>
        <v/>
      </c>
      <c r="G124" s="38" t="n"/>
      <c r="H124" s="37" t="n"/>
    </row>
    <row r="125">
      <c r="A125" s="34" t="n"/>
      <c r="B125" s="35" t="n"/>
      <c r="C125" s="35" t="n"/>
      <c r="D125" s="35" t="n"/>
      <c r="E125" s="36" t="n"/>
      <c r="F125" s="37">
        <f>IF($A125="","",TEXT($A125,"yyyy-mm"))</f>
        <v/>
      </c>
      <c r="G125" s="38" t="n"/>
      <c r="H125" s="37" t="n"/>
    </row>
    <row r="126">
      <c r="A126" s="34" t="n"/>
      <c r="B126" s="35" t="n"/>
      <c r="C126" s="35" t="n"/>
      <c r="D126" s="35" t="n"/>
      <c r="E126" s="36" t="n"/>
      <c r="F126" s="37">
        <f>IF($A126="","",TEXT($A126,"yyyy-mm"))</f>
        <v/>
      </c>
      <c r="G126" s="38" t="n"/>
      <c r="H126" s="37" t="n"/>
    </row>
    <row r="127">
      <c r="A127" s="34" t="n"/>
      <c r="B127" s="35" t="n"/>
      <c r="C127" s="35" t="n"/>
      <c r="D127" s="35" t="n"/>
      <c r="E127" s="36" t="n"/>
      <c r="F127" s="37">
        <f>IF($A127="","",TEXT($A127,"yyyy-mm"))</f>
        <v/>
      </c>
      <c r="G127" s="38" t="n"/>
      <c r="H127" s="37" t="n"/>
    </row>
    <row r="128">
      <c r="A128" s="34" t="n"/>
      <c r="B128" s="35" t="n"/>
      <c r="C128" s="35" t="n"/>
      <c r="D128" s="35" t="n"/>
      <c r="E128" s="36" t="n"/>
      <c r="F128" s="37">
        <f>IF($A128="","",TEXT($A128,"yyyy-mm"))</f>
        <v/>
      </c>
      <c r="G128" s="38" t="n"/>
      <c r="H128" s="37" t="n"/>
    </row>
    <row r="129">
      <c r="A129" s="34" t="n"/>
      <c r="B129" s="35" t="n"/>
      <c r="C129" s="35" t="n"/>
      <c r="D129" s="35" t="n"/>
      <c r="E129" s="36" t="n"/>
      <c r="F129" s="37">
        <f>IF($A129="","",TEXT($A129,"yyyy-mm"))</f>
        <v/>
      </c>
      <c r="G129" s="38" t="n"/>
      <c r="H129" s="37" t="n"/>
    </row>
    <row r="130">
      <c r="A130" s="34" t="n"/>
      <c r="B130" s="35" t="n"/>
      <c r="C130" s="35" t="n"/>
      <c r="D130" s="35" t="n"/>
      <c r="E130" s="36" t="n"/>
      <c r="F130" s="37">
        <f>IF($A130="","",TEXT($A130,"yyyy-mm"))</f>
        <v/>
      </c>
      <c r="G130" s="38" t="n"/>
      <c r="H130" s="37" t="n"/>
    </row>
    <row r="131">
      <c r="A131" s="34" t="n"/>
      <c r="B131" s="35" t="n"/>
      <c r="C131" s="35" t="n"/>
      <c r="D131" s="35" t="n"/>
      <c r="E131" s="36" t="n"/>
      <c r="F131" s="37">
        <f>IF($A131="","",TEXT($A131,"yyyy-mm"))</f>
        <v/>
      </c>
      <c r="G131" s="38" t="n"/>
      <c r="H131" s="37" t="n"/>
    </row>
    <row r="132">
      <c r="A132" s="34" t="n"/>
      <c r="B132" s="35" t="n"/>
      <c r="C132" s="35" t="n"/>
      <c r="D132" s="35" t="n"/>
      <c r="E132" s="36" t="n"/>
      <c r="F132" s="37">
        <f>IF($A132="","",TEXT($A132,"yyyy-mm"))</f>
        <v/>
      </c>
      <c r="G132" s="38" t="n"/>
      <c r="H132" s="37" t="n"/>
    </row>
    <row r="133">
      <c r="A133" s="34" t="n"/>
      <c r="B133" s="35" t="n"/>
      <c r="C133" s="35" t="n"/>
      <c r="D133" s="35" t="n"/>
      <c r="E133" s="36" t="n"/>
      <c r="F133" s="37">
        <f>IF($A133="","",TEXT($A133,"yyyy-mm"))</f>
        <v/>
      </c>
      <c r="G133" s="38" t="n"/>
      <c r="H133" s="37" t="n"/>
    </row>
    <row r="134">
      <c r="A134" s="34" t="n"/>
      <c r="B134" s="35" t="n"/>
      <c r="C134" s="35" t="n"/>
      <c r="D134" s="35" t="n"/>
      <c r="E134" s="36" t="n"/>
      <c r="F134" s="37">
        <f>IF($A134="","",TEXT($A134,"yyyy-mm"))</f>
        <v/>
      </c>
      <c r="G134" s="38" t="n"/>
      <c r="H134" s="37" t="n"/>
    </row>
    <row r="135">
      <c r="A135" s="34" t="n"/>
      <c r="B135" s="35" t="n"/>
      <c r="C135" s="35" t="n"/>
      <c r="D135" s="35" t="n"/>
      <c r="E135" s="36" t="n"/>
      <c r="F135" s="37">
        <f>IF($A135="","",TEXT($A135,"yyyy-mm"))</f>
        <v/>
      </c>
      <c r="G135" s="38" t="n"/>
      <c r="H135" s="37" t="n"/>
    </row>
    <row r="136">
      <c r="A136" s="34" t="n"/>
      <c r="B136" s="35" t="n"/>
      <c r="C136" s="35" t="n"/>
      <c r="D136" s="35" t="n"/>
      <c r="E136" s="36" t="n"/>
      <c r="F136" s="37">
        <f>IF($A136="","",TEXT($A136,"yyyy-mm"))</f>
        <v/>
      </c>
      <c r="G136" s="38" t="n"/>
      <c r="H136" s="37" t="n"/>
    </row>
    <row r="137">
      <c r="A137" s="34" t="n"/>
      <c r="B137" s="35" t="n"/>
      <c r="C137" s="35" t="n"/>
      <c r="D137" s="35" t="n"/>
      <c r="E137" s="36" t="n"/>
      <c r="F137" s="37">
        <f>IF($A137="","",TEXT($A137,"yyyy-mm"))</f>
        <v/>
      </c>
      <c r="G137" s="38" t="n"/>
      <c r="H137" s="37" t="n"/>
    </row>
    <row r="138">
      <c r="A138" s="34" t="n"/>
      <c r="B138" s="35" t="n"/>
      <c r="C138" s="35" t="n"/>
      <c r="D138" s="35" t="n"/>
      <c r="E138" s="36" t="n"/>
      <c r="F138" s="37">
        <f>IF($A138="","",TEXT($A138,"yyyy-mm"))</f>
        <v/>
      </c>
      <c r="G138" s="38" t="n"/>
      <c r="H138" s="37" t="n"/>
    </row>
    <row r="139">
      <c r="A139" s="34" t="n"/>
      <c r="B139" s="35" t="n"/>
      <c r="C139" s="35" t="n"/>
      <c r="D139" s="35" t="n"/>
      <c r="E139" s="36" t="n"/>
      <c r="F139" s="37">
        <f>IF($A139="","",TEXT($A139,"yyyy-mm"))</f>
        <v/>
      </c>
      <c r="G139" s="38" t="n"/>
      <c r="H139" s="37" t="n"/>
    </row>
    <row r="140">
      <c r="A140" s="34" t="n"/>
      <c r="B140" s="35" t="n"/>
      <c r="C140" s="35" t="n"/>
      <c r="D140" s="35" t="n"/>
      <c r="E140" s="36" t="n"/>
      <c r="F140" s="37">
        <f>IF($A140="","",TEXT($A140,"yyyy-mm"))</f>
        <v/>
      </c>
      <c r="G140" s="38" t="n"/>
      <c r="H140" s="37" t="n"/>
    </row>
    <row r="141">
      <c r="A141" s="34" t="n"/>
      <c r="B141" s="35" t="n"/>
      <c r="C141" s="35" t="n"/>
      <c r="D141" s="35" t="n"/>
      <c r="E141" s="36" t="n"/>
      <c r="F141" s="37">
        <f>IF($A141="","",TEXT($A141,"yyyy-mm"))</f>
        <v/>
      </c>
      <c r="G141" s="38" t="n"/>
      <c r="H141" s="37" t="n"/>
    </row>
    <row r="142">
      <c r="A142" s="34" t="n"/>
      <c r="B142" s="35" t="n"/>
      <c r="C142" s="35" t="n"/>
      <c r="D142" s="35" t="n"/>
      <c r="E142" s="36" t="n"/>
      <c r="F142" s="37">
        <f>IF($A142="","",TEXT($A142,"yyyy-mm"))</f>
        <v/>
      </c>
      <c r="G142" s="38" t="n"/>
      <c r="H142" s="37" t="n"/>
    </row>
    <row r="143">
      <c r="A143" s="34" t="n"/>
      <c r="B143" s="35" t="n"/>
      <c r="C143" s="35" t="n"/>
      <c r="D143" s="35" t="n"/>
      <c r="E143" s="36" t="n"/>
      <c r="F143" s="37">
        <f>IF($A143="","",TEXT($A143,"yyyy-mm"))</f>
        <v/>
      </c>
      <c r="G143" s="38" t="n"/>
      <c r="H143" s="37" t="n"/>
    </row>
    <row r="144">
      <c r="A144" s="34" t="n"/>
      <c r="B144" s="35" t="n"/>
      <c r="C144" s="35" t="n"/>
      <c r="D144" s="35" t="n"/>
      <c r="E144" s="36" t="n"/>
      <c r="F144" s="37">
        <f>IF($A144="","",TEXT($A144,"yyyy-mm"))</f>
        <v/>
      </c>
      <c r="G144" s="38" t="n"/>
      <c r="H144" s="37" t="n"/>
    </row>
    <row r="145">
      <c r="A145" s="34" t="n"/>
      <c r="B145" s="35" t="n"/>
      <c r="C145" s="35" t="n"/>
      <c r="D145" s="35" t="n"/>
      <c r="E145" s="36" t="n"/>
      <c r="F145" s="37">
        <f>IF($A145="","",TEXT($A145,"yyyy-mm"))</f>
        <v/>
      </c>
      <c r="G145" s="38" t="n"/>
      <c r="H145" s="37" t="n"/>
    </row>
    <row r="146">
      <c r="A146" s="34" t="n"/>
      <c r="B146" s="35" t="n"/>
      <c r="C146" s="35" t="n"/>
      <c r="D146" s="35" t="n"/>
      <c r="E146" s="36" t="n"/>
      <c r="F146" s="37">
        <f>IF($A146="","",TEXT($A146,"yyyy-mm"))</f>
        <v/>
      </c>
      <c r="G146" s="38" t="n"/>
      <c r="H146" s="37" t="n"/>
    </row>
    <row r="147">
      <c r="A147" s="34" t="n"/>
      <c r="B147" s="35" t="n"/>
      <c r="C147" s="35" t="n"/>
      <c r="D147" s="35" t="n"/>
      <c r="E147" s="36" t="n"/>
      <c r="F147" s="37">
        <f>IF($A147="","",TEXT($A147,"yyyy-mm"))</f>
        <v/>
      </c>
      <c r="G147" s="38" t="n"/>
      <c r="H147" s="37" t="n"/>
    </row>
    <row r="148">
      <c r="A148" s="34" t="n"/>
      <c r="B148" s="35" t="n"/>
      <c r="C148" s="35" t="n"/>
      <c r="D148" s="35" t="n"/>
      <c r="E148" s="36" t="n"/>
      <c r="F148" s="37">
        <f>IF($A148="","",TEXT($A148,"yyyy-mm"))</f>
        <v/>
      </c>
      <c r="G148" s="38" t="n"/>
      <c r="H148" s="37" t="n"/>
    </row>
    <row r="149">
      <c r="A149" s="34" t="n"/>
      <c r="B149" s="35" t="n"/>
      <c r="C149" s="35" t="n"/>
      <c r="D149" s="35" t="n"/>
      <c r="E149" s="36" t="n"/>
      <c r="F149" s="37">
        <f>IF($A149="","",TEXT($A149,"yyyy-mm"))</f>
        <v/>
      </c>
      <c r="G149" s="38" t="n"/>
      <c r="H149" s="37" t="n"/>
    </row>
    <row r="150">
      <c r="A150" s="34" t="n"/>
      <c r="B150" s="35" t="n"/>
      <c r="C150" s="35" t="n"/>
      <c r="D150" s="35" t="n"/>
      <c r="E150" s="36" t="n"/>
      <c r="F150" s="37">
        <f>IF($A150="","",TEXT($A150,"yyyy-mm"))</f>
        <v/>
      </c>
      <c r="G150" s="38" t="n"/>
      <c r="H150" s="37" t="n"/>
    </row>
    <row r="151">
      <c r="A151" s="34" t="n"/>
      <c r="B151" s="35" t="n"/>
      <c r="C151" s="35" t="n"/>
      <c r="D151" s="35" t="n"/>
      <c r="E151" s="36" t="n"/>
      <c r="F151" s="37">
        <f>IF($A151="","",TEXT($A151,"yyyy-mm"))</f>
        <v/>
      </c>
      <c r="G151" s="38" t="n"/>
      <c r="H151" s="37" t="n"/>
    </row>
    <row r="152">
      <c r="A152" s="34" t="n"/>
      <c r="B152" s="35" t="n"/>
      <c r="C152" s="35" t="n"/>
      <c r="D152" s="35" t="n"/>
      <c r="E152" s="36" t="n"/>
      <c r="F152" s="37">
        <f>IF($A152="","",TEXT($A152,"yyyy-mm"))</f>
        <v/>
      </c>
      <c r="G152" s="38" t="n"/>
      <c r="H152" s="37" t="n"/>
    </row>
    <row r="153">
      <c r="A153" s="34" t="n"/>
      <c r="B153" s="35" t="n"/>
      <c r="C153" s="35" t="n"/>
      <c r="D153" s="35" t="n"/>
      <c r="E153" s="36" t="n"/>
      <c r="F153" s="37">
        <f>IF($A153="","",TEXT($A153,"yyyy-mm"))</f>
        <v/>
      </c>
      <c r="G153" s="38" t="n"/>
      <c r="H153" s="37" t="n"/>
    </row>
    <row r="154">
      <c r="A154" s="34" t="n"/>
      <c r="B154" s="35" t="n"/>
      <c r="C154" s="35" t="n"/>
      <c r="D154" s="35" t="n"/>
      <c r="E154" s="36" t="n"/>
      <c r="F154" s="37">
        <f>IF($A154="","",TEXT($A154,"yyyy-mm"))</f>
        <v/>
      </c>
      <c r="G154" s="38" t="n"/>
      <c r="H154" s="37" t="n"/>
    </row>
    <row r="155">
      <c r="A155" s="34" t="n"/>
      <c r="B155" s="35" t="n"/>
      <c r="C155" s="35" t="n"/>
      <c r="D155" s="35" t="n"/>
      <c r="E155" s="36" t="n"/>
      <c r="F155" s="37">
        <f>IF($A155="","",TEXT($A155,"yyyy-mm"))</f>
        <v/>
      </c>
      <c r="G155" s="38" t="n"/>
      <c r="H155" s="37" t="n"/>
    </row>
    <row r="156">
      <c r="A156" s="34" t="n"/>
      <c r="B156" s="35" t="n"/>
      <c r="C156" s="35" t="n"/>
      <c r="D156" s="35" t="n"/>
      <c r="E156" s="36" t="n"/>
      <c r="F156" s="37">
        <f>IF($A156="","",TEXT($A156,"yyyy-mm"))</f>
        <v/>
      </c>
      <c r="G156" s="38" t="n"/>
      <c r="H156" s="37" t="n"/>
    </row>
    <row r="157">
      <c r="A157" s="34" t="n"/>
      <c r="B157" s="35" t="n"/>
      <c r="C157" s="35" t="n"/>
      <c r="D157" s="35" t="n"/>
      <c r="E157" s="36" t="n"/>
      <c r="F157" s="37">
        <f>IF($A157="","",TEXT($A157,"yyyy-mm"))</f>
        <v/>
      </c>
      <c r="G157" s="38" t="n"/>
      <c r="H157" s="37" t="n"/>
    </row>
    <row r="158">
      <c r="A158" s="34" t="n"/>
      <c r="B158" s="35" t="n"/>
      <c r="C158" s="35" t="n"/>
      <c r="D158" s="35" t="n"/>
      <c r="E158" s="36" t="n"/>
      <c r="F158" s="37">
        <f>IF($A158="","",TEXT($A158,"yyyy-mm"))</f>
        <v/>
      </c>
      <c r="G158" s="38" t="n"/>
      <c r="H158" s="37" t="n"/>
    </row>
    <row r="159">
      <c r="A159" s="34" t="n"/>
      <c r="B159" s="35" t="n"/>
      <c r="C159" s="35" t="n"/>
      <c r="D159" s="35" t="n"/>
      <c r="E159" s="36" t="n"/>
      <c r="F159" s="37">
        <f>IF($A159="","",TEXT($A159,"yyyy-mm"))</f>
        <v/>
      </c>
      <c r="G159" s="38" t="n"/>
      <c r="H159" s="37" t="n"/>
    </row>
    <row r="160">
      <c r="A160" s="34" t="n"/>
      <c r="B160" s="35" t="n"/>
      <c r="C160" s="35" t="n"/>
      <c r="D160" s="35" t="n"/>
      <c r="E160" s="36" t="n"/>
      <c r="F160" s="37">
        <f>IF($A160="","",TEXT($A160,"yyyy-mm"))</f>
        <v/>
      </c>
      <c r="G160" s="38" t="n"/>
      <c r="H160" s="37" t="n"/>
    </row>
    <row r="161">
      <c r="A161" s="34" t="n"/>
      <c r="B161" s="35" t="n"/>
      <c r="C161" s="35" t="n"/>
      <c r="D161" s="35" t="n"/>
      <c r="E161" s="36" t="n"/>
      <c r="F161" s="37">
        <f>IF($A161="","",TEXT($A161,"yyyy-mm"))</f>
        <v/>
      </c>
      <c r="G161" s="38" t="n"/>
      <c r="H161" s="37" t="n"/>
    </row>
    <row r="162">
      <c r="A162" s="34" t="n"/>
      <c r="B162" s="35" t="n"/>
      <c r="C162" s="35" t="n"/>
      <c r="D162" s="35" t="n"/>
      <c r="E162" s="36" t="n"/>
      <c r="F162" s="37">
        <f>IF($A162="","",TEXT($A162,"yyyy-mm"))</f>
        <v/>
      </c>
      <c r="G162" s="38" t="n"/>
      <c r="H162" s="37" t="n"/>
    </row>
    <row r="163">
      <c r="A163" s="34" t="n"/>
      <c r="B163" s="35" t="n"/>
      <c r="C163" s="35" t="n"/>
      <c r="D163" s="35" t="n"/>
      <c r="E163" s="36" t="n"/>
      <c r="F163" s="37">
        <f>IF($A163="","",TEXT($A163,"yyyy-mm"))</f>
        <v/>
      </c>
      <c r="G163" s="38" t="n"/>
      <c r="H163" s="37" t="n"/>
    </row>
    <row r="164">
      <c r="A164" s="34" t="n"/>
      <c r="B164" s="35" t="n"/>
      <c r="C164" s="35" t="n"/>
      <c r="D164" s="35" t="n"/>
      <c r="E164" s="36" t="n"/>
      <c r="F164" s="37">
        <f>IF($A164="","",TEXT($A164,"yyyy-mm"))</f>
        <v/>
      </c>
      <c r="G164" s="38" t="n"/>
      <c r="H164" s="37" t="n"/>
    </row>
    <row r="165">
      <c r="A165" s="34" t="n"/>
      <c r="B165" s="35" t="n"/>
      <c r="C165" s="35" t="n"/>
      <c r="D165" s="35" t="n"/>
      <c r="E165" s="36" t="n"/>
      <c r="F165" s="37">
        <f>IF($A165="","",TEXT($A165,"yyyy-mm"))</f>
        <v/>
      </c>
      <c r="G165" s="38" t="n"/>
      <c r="H165" s="37" t="n"/>
    </row>
    <row r="166">
      <c r="A166" s="34" t="n"/>
      <c r="B166" s="35" t="n"/>
      <c r="C166" s="35" t="n"/>
      <c r="D166" s="35" t="n"/>
      <c r="E166" s="36" t="n"/>
      <c r="F166" s="37">
        <f>IF($A166="","",TEXT($A166,"yyyy-mm"))</f>
        <v/>
      </c>
      <c r="G166" s="38" t="n"/>
      <c r="H166" s="37" t="n"/>
    </row>
    <row r="167">
      <c r="A167" s="34" t="n"/>
      <c r="B167" s="35" t="n"/>
      <c r="C167" s="35" t="n"/>
      <c r="D167" s="35" t="n"/>
      <c r="E167" s="36" t="n"/>
      <c r="F167" s="37">
        <f>IF($A167="","",TEXT($A167,"yyyy-mm"))</f>
        <v/>
      </c>
      <c r="G167" s="38" t="n"/>
      <c r="H167" s="37" t="n"/>
    </row>
    <row r="168">
      <c r="A168" s="34" t="n"/>
      <c r="B168" s="35" t="n"/>
      <c r="C168" s="35" t="n"/>
      <c r="D168" s="35" t="n"/>
      <c r="E168" s="36" t="n"/>
      <c r="F168" s="37">
        <f>IF($A168="","",TEXT($A168,"yyyy-mm"))</f>
        <v/>
      </c>
      <c r="G168" s="38" t="n"/>
      <c r="H168" s="37" t="n"/>
    </row>
    <row r="169">
      <c r="A169" s="34" t="n"/>
      <c r="B169" s="35" t="n"/>
      <c r="C169" s="35" t="n"/>
      <c r="D169" s="35" t="n"/>
      <c r="E169" s="36" t="n"/>
      <c r="F169" s="37">
        <f>IF($A169="","",TEXT($A169,"yyyy-mm"))</f>
        <v/>
      </c>
      <c r="G169" s="38" t="n"/>
      <c r="H169" s="37" t="n"/>
    </row>
    <row r="170">
      <c r="A170" s="34" t="n"/>
      <c r="B170" s="35" t="n"/>
      <c r="C170" s="35" t="n"/>
      <c r="D170" s="35" t="n"/>
      <c r="E170" s="36" t="n"/>
      <c r="F170" s="37">
        <f>IF($A170="","",TEXT($A170,"yyyy-mm"))</f>
        <v/>
      </c>
      <c r="G170" s="38" t="n"/>
      <c r="H170" s="37" t="n"/>
    </row>
    <row r="171">
      <c r="A171" s="34" t="n"/>
      <c r="B171" s="35" t="n"/>
      <c r="C171" s="35" t="n"/>
      <c r="D171" s="35" t="n"/>
      <c r="E171" s="36" t="n"/>
      <c r="F171" s="37">
        <f>IF($A171="","",TEXT($A171,"yyyy-mm"))</f>
        <v/>
      </c>
      <c r="G171" s="38" t="n"/>
      <c r="H171" s="37" t="n"/>
    </row>
    <row r="172">
      <c r="A172" s="34" t="n"/>
      <c r="B172" s="35" t="n"/>
      <c r="C172" s="35" t="n"/>
      <c r="D172" s="35" t="n"/>
      <c r="E172" s="36" t="n"/>
      <c r="F172" s="37">
        <f>IF($A172="","",TEXT($A172,"yyyy-mm"))</f>
        <v/>
      </c>
      <c r="G172" s="38" t="n"/>
      <c r="H172" s="37" t="n"/>
    </row>
    <row r="173">
      <c r="A173" s="34" t="n"/>
      <c r="B173" s="35" t="n"/>
      <c r="C173" s="35" t="n"/>
      <c r="D173" s="35" t="n"/>
      <c r="E173" s="36" t="n"/>
      <c r="F173" s="37">
        <f>IF($A173="","",TEXT($A173,"yyyy-mm"))</f>
        <v/>
      </c>
      <c r="G173" s="38" t="n"/>
      <c r="H173" s="37" t="n"/>
    </row>
    <row r="174">
      <c r="A174" s="34" t="n"/>
      <c r="B174" s="35" t="n"/>
      <c r="C174" s="35" t="n"/>
      <c r="D174" s="35" t="n"/>
      <c r="E174" s="36" t="n"/>
      <c r="F174" s="37">
        <f>IF($A174="","",TEXT($A174,"yyyy-mm"))</f>
        <v/>
      </c>
      <c r="G174" s="38" t="n"/>
      <c r="H174" s="37" t="n"/>
    </row>
    <row r="175">
      <c r="A175" s="34" t="n"/>
      <c r="B175" s="35" t="n"/>
      <c r="C175" s="35" t="n"/>
      <c r="D175" s="35" t="n"/>
      <c r="E175" s="36" t="n"/>
      <c r="F175" s="37">
        <f>IF($A175="","",TEXT($A175,"yyyy-mm"))</f>
        <v/>
      </c>
      <c r="G175" s="38" t="n"/>
      <c r="H175" s="37" t="n"/>
    </row>
    <row r="176">
      <c r="A176" s="34" t="n"/>
      <c r="B176" s="35" t="n"/>
      <c r="C176" s="35" t="n"/>
      <c r="D176" s="35" t="n"/>
      <c r="E176" s="36" t="n"/>
      <c r="F176" s="37">
        <f>IF($A176="","",TEXT($A176,"yyyy-mm"))</f>
        <v/>
      </c>
      <c r="G176" s="38" t="n"/>
      <c r="H176" s="37" t="n"/>
    </row>
    <row r="177">
      <c r="A177" s="34" t="n"/>
      <c r="B177" s="35" t="n"/>
      <c r="C177" s="35" t="n"/>
      <c r="D177" s="35" t="n"/>
      <c r="E177" s="36" t="n"/>
      <c r="F177" s="37">
        <f>IF($A177="","",TEXT($A177,"yyyy-mm"))</f>
        <v/>
      </c>
      <c r="G177" s="38" t="n"/>
      <c r="H177" s="37" t="n"/>
    </row>
    <row r="178">
      <c r="A178" s="34" t="n"/>
      <c r="B178" s="35" t="n"/>
      <c r="C178" s="35" t="n"/>
      <c r="D178" s="35" t="n"/>
      <c r="E178" s="36" t="n"/>
      <c r="F178" s="37">
        <f>IF($A178="","",TEXT($A178,"yyyy-mm"))</f>
        <v/>
      </c>
      <c r="G178" s="38" t="n"/>
      <c r="H178" s="37" t="n"/>
    </row>
    <row r="179">
      <c r="A179" s="34" t="n"/>
      <c r="B179" s="35" t="n"/>
      <c r="C179" s="35" t="n"/>
      <c r="D179" s="35" t="n"/>
      <c r="E179" s="36" t="n"/>
      <c r="F179" s="37">
        <f>IF($A179="","",TEXT($A179,"yyyy-mm"))</f>
        <v/>
      </c>
      <c r="G179" s="38" t="n"/>
      <c r="H179" s="37" t="n"/>
    </row>
    <row r="180">
      <c r="A180" s="34" t="n"/>
      <c r="B180" s="35" t="n"/>
      <c r="C180" s="35" t="n"/>
      <c r="D180" s="35" t="n"/>
      <c r="E180" s="36" t="n"/>
      <c r="F180" s="37">
        <f>IF($A180="","",TEXT($A180,"yyyy-mm"))</f>
        <v/>
      </c>
      <c r="G180" s="38" t="n"/>
      <c r="H180" s="37" t="n"/>
    </row>
    <row r="181">
      <c r="A181" s="34" t="n"/>
      <c r="B181" s="35" t="n"/>
      <c r="C181" s="35" t="n"/>
      <c r="D181" s="35" t="n"/>
      <c r="E181" s="36" t="n"/>
      <c r="F181" s="37">
        <f>IF($A181="","",TEXT($A181,"yyyy-mm"))</f>
        <v/>
      </c>
      <c r="G181" s="38" t="n"/>
      <c r="H181" s="37" t="n"/>
    </row>
    <row r="182">
      <c r="A182" s="34" t="n"/>
      <c r="B182" s="35" t="n"/>
      <c r="C182" s="35" t="n"/>
      <c r="D182" s="35" t="n"/>
      <c r="E182" s="36" t="n"/>
      <c r="F182" s="37">
        <f>IF($A182="","",TEXT($A182,"yyyy-mm"))</f>
        <v/>
      </c>
      <c r="G182" s="38" t="n"/>
      <c r="H182" s="37" t="n"/>
    </row>
    <row r="183">
      <c r="A183" s="34" t="n"/>
      <c r="B183" s="35" t="n"/>
      <c r="C183" s="35" t="n"/>
      <c r="D183" s="35" t="n"/>
      <c r="E183" s="36" t="n"/>
      <c r="F183" s="37">
        <f>IF($A183="","",TEXT($A183,"yyyy-mm"))</f>
        <v/>
      </c>
      <c r="G183" s="38" t="n"/>
      <c r="H183" s="37" t="n"/>
    </row>
    <row r="184">
      <c r="A184" s="34" t="n"/>
      <c r="B184" s="35" t="n"/>
      <c r="C184" s="35" t="n"/>
      <c r="D184" s="35" t="n"/>
      <c r="E184" s="36" t="n"/>
      <c r="F184" s="37">
        <f>IF($A184="","",TEXT($A184,"yyyy-mm"))</f>
        <v/>
      </c>
      <c r="G184" s="38" t="n"/>
      <c r="H184" s="37" t="n"/>
    </row>
    <row r="185">
      <c r="A185" s="34" t="n"/>
      <c r="B185" s="35" t="n"/>
      <c r="C185" s="35" t="n"/>
      <c r="D185" s="35" t="n"/>
      <c r="E185" s="36" t="n"/>
      <c r="F185" s="37">
        <f>IF($A185="","",TEXT($A185,"yyyy-mm"))</f>
        <v/>
      </c>
      <c r="G185" s="38" t="n"/>
      <c r="H185" s="37" t="n"/>
    </row>
    <row r="186">
      <c r="A186" s="34" t="n"/>
      <c r="B186" s="35" t="n"/>
      <c r="C186" s="35" t="n"/>
      <c r="D186" s="35" t="n"/>
      <c r="E186" s="36" t="n"/>
      <c r="F186" s="37">
        <f>IF($A186="","",TEXT($A186,"yyyy-mm"))</f>
        <v/>
      </c>
      <c r="G186" s="38" t="n"/>
      <c r="H186" s="37" t="n"/>
    </row>
    <row r="187">
      <c r="A187" s="34" t="n"/>
      <c r="B187" s="35" t="n"/>
      <c r="C187" s="35" t="n"/>
      <c r="D187" s="35" t="n"/>
      <c r="E187" s="36" t="n"/>
      <c r="F187" s="37">
        <f>IF($A187="","",TEXT($A187,"yyyy-mm"))</f>
        <v/>
      </c>
      <c r="G187" s="38" t="n"/>
      <c r="H187" s="37" t="n"/>
    </row>
    <row r="188">
      <c r="A188" s="34" t="n"/>
      <c r="B188" s="35" t="n"/>
      <c r="C188" s="35" t="n"/>
      <c r="D188" s="35" t="n"/>
      <c r="E188" s="36" t="n"/>
      <c r="F188" s="37">
        <f>IF($A188="","",TEXT($A188,"yyyy-mm"))</f>
        <v/>
      </c>
      <c r="G188" s="38" t="n"/>
      <c r="H188" s="37" t="n"/>
    </row>
    <row r="189">
      <c r="A189" s="34" t="n"/>
      <c r="B189" s="35" t="n"/>
      <c r="C189" s="35" t="n"/>
      <c r="D189" s="35" t="n"/>
      <c r="E189" s="36" t="n"/>
      <c r="F189" s="37">
        <f>IF($A189="","",TEXT($A189,"yyyy-mm"))</f>
        <v/>
      </c>
      <c r="G189" s="38" t="n"/>
      <c r="H189" s="37" t="n"/>
    </row>
    <row r="190">
      <c r="A190" s="34" t="n"/>
      <c r="B190" s="35" t="n"/>
      <c r="C190" s="35" t="n"/>
      <c r="D190" s="35" t="n"/>
      <c r="E190" s="36" t="n"/>
      <c r="F190" s="37">
        <f>IF($A190="","",TEXT($A190,"yyyy-mm"))</f>
        <v/>
      </c>
      <c r="G190" s="38" t="n"/>
      <c r="H190" s="37" t="n"/>
    </row>
    <row r="191">
      <c r="A191" s="34" t="n"/>
      <c r="B191" s="35" t="n"/>
      <c r="C191" s="35" t="n"/>
      <c r="D191" s="35" t="n"/>
      <c r="E191" s="36" t="n"/>
      <c r="F191" s="37">
        <f>IF($A191="","",TEXT($A191,"yyyy-mm"))</f>
        <v/>
      </c>
      <c r="G191" s="38" t="n"/>
      <c r="H191" s="37" t="n"/>
    </row>
    <row r="192">
      <c r="A192" s="34" t="n"/>
      <c r="B192" s="35" t="n"/>
      <c r="C192" s="35" t="n"/>
      <c r="D192" s="35" t="n"/>
      <c r="E192" s="36" t="n"/>
      <c r="F192" s="37">
        <f>IF($A192="","",TEXT($A192,"yyyy-mm"))</f>
        <v/>
      </c>
      <c r="G192" s="38" t="n"/>
      <c r="H192" s="37" t="n"/>
    </row>
    <row r="193">
      <c r="A193" s="34" t="n"/>
      <c r="B193" s="35" t="n"/>
      <c r="C193" s="35" t="n"/>
      <c r="D193" s="35" t="n"/>
      <c r="E193" s="36" t="n"/>
      <c r="F193" s="37">
        <f>IF($A193="","",TEXT($A193,"yyyy-mm"))</f>
        <v/>
      </c>
      <c r="G193" s="38" t="n"/>
      <c r="H193" s="37" t="n"/>
    </row>
    <row r="194">
      <c r="A194" s="34" t="n"/>
      <c r="B194" s="35" t="n"/>
      <c r="C194" s="35" t="n"/>
      <c r="D194" s="35" t="n"/>
      <c r="E194" s="36" t="n"/>
      <c r="F194" s="37">
        <f>IF($A194="","",TEXT($A194,"yyyy-mm"))</f>
        <v/>
      </c>
      <c r="G194" s="38" t="n"/>
      <c r="H194" s="37" t="n"/>
    </row>
    <row r="195">
      <c r="A195" s="34" t="n"/>
      <c r="B195" s="35" t="n"/>
      <c r="C195" s="35" t="n"/>
      <c r="D195" s="35" t="n"/>
      <c r="E195" s="36" t="n"/>
      <c r="F195" s="37">
        <f>IF($A195="","",TEXT($A195,"yyyy-mm"))</f>
        <v/>
      </c>
      <c r="G195" s="38" t="n"/>
      <c r="H195" s="37" t="n"/>
    </row>
    <row r="196">
      <c r="A196" s="34" t="n"/>
      <c r="B196" s="35" t="n"/>
      <c r="C196" s="35" t="n"/>
      <c r="D196" s="35" t="n"/>
      <c r="E196" s="36" t="n"/>
      <c r="F196" s="37">
        <f>IF($A196="","",TEXT($A196,"yyyy-mm"))</f>
        <v/>
      </c>
      <c r="G196" s="38" t="n"/>
      <c r="H196" s="37" t="n"/>
    </row>
    <row r="197">
      <c r="A197" s="34" t="n"/>
      <c r="B197" s="35" t="n"/>
      <c r="C197" s="35" t="n"/>
      <c r="D197" s="35" t="n"/>
      <c r="E197" s="36" t="n"/>
      <c r="F197" s="37">
        <f>IF($A197="","",TEXT($A197,"yyyy-mm"))</f>
        <v/>
      </c>
      <c r="G197" s="38" t="n"/>
      <c r="H197" s="37" t="n"/>
    </row>
    <row r="198">
      <c r="A198" s="34" t="n"/>
      <c r="B198" s="35" t="n"/>
      <c r="C198" s="35" t="n"/>
      <c r="D198" s="35" t="n"/>
      <c r="E198" s="36" t="n"/>
      <c r="F198" s="37">
        <f>IF($A198="","",TEXT($A198,"yyyy-mm"))</f>
        <v/>
      </c>
      <c r="G198" s="38" t="n"/>
      <c r="H198" s="37" t="n"/>
    </row>
    <row r="199">
      <c r="A199" s="34" t="n"/>
      <c r="B199" s="35" t="n"/>
      <c r="C199" s="35" t="n"/>
      <c r="D199" s="35" t="n"/>
      <c r="E199" s="36" t="n"/>
      <c r="F199" s="37">
        <f>IF($A199="","",TEXT($A199,"yyyy-mm"))</f>
        <v/>
      </c>
      <c r="G199" s="38" t="n"/>
      <c r="H199" s="37" t="n"/>
    </row>
    <row r="200">
      <c r="A200" s="34" t="n"/>
      <c r="B200" s="35" t="n"/>
      <c r="C200" s="35" t="n"/>
      <c r="D200" s="35" t="n"/>
      <c r="E200" s="36" t="n"/>
      <c r="F200" s="37">
        <f>IF($A200="","",TEXT($A200,"yyyy-mm"))</f>
        <v/>
      </c>
      <c r="G200" s="38" t="n"/>
      <c r="H200" s="37" t="n"/>
    </row>
    <row r="201">
      <c r="A201" s="34" t="n"/>
      <c r="B201" s="35" t="n"/>
      <c r="C201" s="35" t="n"/>
      <c r="D201" s="35" t="n"/>
      <c r="E201" s="36" t="n"/>
      <c r="F201" s="37">
        <f>IF($A201="","",TEXT($A201,"yyyy-mm"))</f>
        <v/>
      </c>
      <c r="G201" s="38" t="n"/>
      <c r="H201" s="37" t="n"/>
    </row>
    <row r="202">
      <c r="A202" s="34" t="n"/>
      <c r="B202" s="35" t="n"/>
      <c r="C202" s="35" t="n"/>
      <c r="D202" s="35" t="n"/>
      <c r="E202" s="36" t="n"/>
      <c r="F202" s="37">
        <f>IF($A202="","",TEXT($A202,"yyyy-mm"))</f>
        <v/>
      </c>
      <c r="G202" s="38" t="n"/>
      <c r="H202" s="37" t="n"/>
    </row>
    <row r="203">
      <c r="A203" s="34" t="n"/>
      <c r="B203" s="35" t="n"/>
      <c r="C203" s="35" t="n"/>
      <c r="D203" s="35" t="n"/>
      <c r="E203" s="36" t="n"/>
      <c r="F203" s="37">
        <f>IF($A203="","",TEXT($A203,"yyyy-mm"))</f>
        <v/>
      </c>
      <c r="G203" s="38" t="n"/>
      <c r="H203" s="37" t="n"/>
    </row>
    <row r="204">
      <c r="A204" s="34" t="n"/>
      <c r="B204" s="35" t="n"/>
      <c r="C204" s="35" t="n"/>
      <c r="D204" s="35" t="n"/>
      <c r="E204" s="36" t="n"/>
      <c r="F204" s="37">
        <f>IF($A204="","",TEXT($A204,"yyyy-mm"))</f>
        <v/>
      </c>
      <c r="G204" s="38" t="n"/>
      <c r="H204" s="37" t="n"/>
    </row>
    <row r="205">
      <c r="A205" s="34" t="n"/>
      <c r="B205" s="35" t="n"/>
      <c r="C205" s="35" t="n"/>
      <c r="D205" s="35" t="n"/>
      <c r="E205" s="36" t="n"/>
      <c r="F205" s="37">
        <f>IF($A205="","",TEXT($A205,"yyyy-mm"))</f>
        <v/>
      </c>
      <c r="G205" s="38" t="n"/>
      <c r="H205" s="37" t="n"/>
    </row>
    <row r="206">
      <c r="A206" s="34" t="n"/>
      <c r="B206" s="35" t="n"/>
      <c r="C206" s="35" t="n"/>
      <c r="D206" s="35" t="n"/>
      <c r="E206" s="36" t="n"/>
      <c r="F206" s="37">
        <f>IF($A206="","",TEXT($A206,"yyyy-mm"))</f>
        <v/>
      </c>
      <c r="G206" s="38" t="n"/>
      <c r="H206" s="37" t="n"/>
    </row>
    <row r="207">
      <c r="A207" s="34" t="n"/>
      <c r="B207" s="35" t="n"/>
      <c r="C207" s="35" t="n"/>
      <c r="D207" s="35" t="n"/>
      <c r="E207" s="36" t="n"/>
      <c r="F207" s="37">
        <f>IF($A207="","",TEXT($A207,"yyyy-mm"))</f>
        <v/>
      </c>
      <c r="G207" s="38" t="n"/>
      <c r="H207" s="37" t="n"/>
    </row>
    <row r="208">
      <c r="A208" s="34" t="n"/>
      <c r="B208" s="35" t="n"/>
      <c r="C208" s="35" t="n"/>
      <c r="D208" s="35" t="n"/>
      <c r="E208" s="36" t="n"/>
      <c r="F208" s="37">
        <f>IF($A208="","",TEXT($A208,"yyyy-mm"))</f>
        <v/>
      </c>
      <c r="G208" s="38" t="n"/>
      <c r="H208" s="37" t="n"/>
    </row>
    <row r="209">
      <c r="A209" s="34" t="n"/>
      <c r="B209" s="35" t="n"/>
      <c r="C209" s="35" t="n"/>
      <c r="D209" s="35" t="n"/>
      <c r="E209" s="36" t="n"/>
      <c r="F209" s="37">
        <f>IF($A209="","",TEXT($A209,"yyyy-mm"))</f>
        <v/>
      </c>
      <c r="G209" s="38" t="n"/>
      <c r="H209" s="37" t="n"/>
    </row>
    <row r="210">
      <c r="A210" s="34" t="n"/>
      <c r="B210" s="35" t="n"/>
      <c r="C210" s="35" t="n"/>
      <c r="D210" s="35" t="n"/>
      <c r="E210" s="36" t="n"/>
      <c r="F210" s="37">
        <f>IF($A210="","",TEXT($A210,"yyyy-mm"))</f>
        <v/>
      </c>
      <c r="G210" s="38" t="n"/>
      <c r="H210" s="37" t="n"/>
    </row>
    <row r="211">
      <c r="A211" s="34" t="n"/>
      <c r="B211" s="35" t="n"/>
      <c r="C211" s="35" t="n"/>
      <c r="D211" s="35" t="n"/>
      <c r="E211" s="36" t="n"/>
      <c r="F211" s="37">
        <f>IF($A211="","",TEXT($A211,"yyyy-mm"))</f>
        <v/>
      </c>
      <c r="G211" s="38" t="n"/>
      <c r="H211" s="37" t="n"/>
    </row>
    <row r="212">
      <c r="A212" s="34" t="n"/>
      <c r="B212" s="35" t="n"/>
      <c r="C212" s="35" t="n"/>
      <c r="D212" s="35" t="n"/>
      <c r="E212" s="36" t="n"/>
      <c r="F212" s="37">
        <f>IF($A212="","",TEXT($A212,"yyyy-mm"))</f>
        <v/>
      </c>
      <c r="G212" s="38" t="n"/>
      <c r="H212" s="37" t="n"/>
    </row>
    <row r="213">
      <c r="A213" s="34" t="n"/>
      <c r="B213" s="35" t="n"/>
      <c r="C213" s="35" t="n"/>
      <c r="D213" s="35" t="n"/>
      <c r="E213" s="36" t="n"/>
      <c r="F213" s="37">
        <f>IF($A213="","",TEXT($A213,"yyyy-mm"))</f>
        <v/>
      </c>
      <c r="G213" s="38" t="n"/>
      <c r="H213" s="37" t="n"/>
    </row>
    <row r="214">
      <c r="A214" s="34" t="n"/>
      <c r="B214" s="35" t="n"/>
      <c r="C214" s="35" t="n"/>
      <c r="D214" s="35" t="n"/>
      <c r="E214" s="36" t="n"/>
      <c r="F214" s="37">
        <f>IF($A214="","",TEXT($A214,"yyyy-mm"))</f>
        <v/>
      </c>
      <c r="G214" s="38" t="n"/>
      <c r="H214" s="37" t="n"/>
    </row>
    <row r="215">
      <c r="A215" s="34" t="n"/>
      <c r="B215" s="35" t="n"/>
      <c r="C215" s="35" t="n"/>
      <c r="D215" s="35" t="n"/>
      <c r="E215" s="36" t="n"/>
      <c r="F215" s="37">
        <f>IF($A215="","",TEXT($A215,"yyyy-mm"))</f>
        <v/>
      </c>
      <c r="G215" s="38" t="n"/>
      <c r="H215" s="37" t="n"/>
    </row>
    <row r="216">
      <c r="A216" s="34" t="n"/>
      <c r="B216" s="35" t="n"/>
      <c r="C216" s="35" t="n"/>
      <c r="D216" s="35" t="n"/>
      <c r="E216" s="36" t="n"/>
      <c r="F216" s="37">
        <f>IF($A216="","",TEXT($A216,"yyyy-mm"))</f>
        <v/>
      </c>
      <c r="G216" s="38" t="n"/>
      <c r="H216" s="37" t="n"/>
    </row>
    <row r="217">
      <c r="A217" s="34" t="n"/>
      <c r="B217" s="35" t="n"/>
      <c r="C217" s="35" t="n"/>
      <c r="D217" s="35" t="n"/>
      <c r="E217" s="36" t="n"/>
      <c r="F217" s="37">
        <f>IF($A217="","",TEXT($A217,"yyyy-mm"))</f>
        <v/>
      </c>
      <c r="G217" s="38" t="n"/>
      <c r="H217" s="37" t="n"/>
    </row>
    <row r="218">
      <c r="A218" s="34" t="n"/>
      <c r="B218" s="35" t="n"/>
      <c r="C218" s="35" t="n"/>
      <c r="D218" s="35" t="n"/>
      <c r="E218" s="36" t="n"/>
      <c r="F218" s="37">
        <f>IF($A218="","",TEXT($A218,"yyyy-mm"))</f>
        <v/>
      </c>
      <c r="G218" s="38" t="n"/>
      <c r="H218" s="37" t="n"/>
    </row>
    <row r="219">
      <c r="A219" s="34" t="n"/>
      <c r="B219" s="35" t="n"/>
      <c r="C219" s="35" t="n"/>
      <c r="D219" s="35" t="n"/>
      <c r="E219" s="36" t="n"/>
      <c r="F219" s="37">
        <f>IF($A219="","",TEXT($A219,"yyyy-mm"))</f>
        <v/>
      </c>
      <c r="G219" s="38" t="n"/>
      <c r="H219" s="37" t="n"/>
    </row>
    <row r="220">
      <c r="A220" s="34" t="n"/>
      <c r="B220" s="35" t="n"/>
      <c r="C220" s="35" t="n"/>
      <c r="D220" s="35" t="n"/>
      <c r="E220" s="36" t="n"/>
      <c r="F220" s="37">
        <f>IF($A220="","",TEXT($A220,"yyyy-mm"))</f>
        <v/>
      </c>
      <c r="G220" s="38" t="n"/>
      <c r="H220" s="37" t="n"/>
    </row>
    <row r="221">
      <c r="A221" s="34" t="n"/>
      <c r="B221" s="35" t="n"/>
      <c r="C221" s="35" t="n"/>
      <c r="D221" s="35" t="n"/>
      <c r="E221" s="36" t="n"/>
      <c r="F221" s="37">
        <f>IF($A221="","",TEXT($A221,"yyyy-mm"))</f>
        <v/>
      </c>
      <c r="G221" s="38" t="n"/>
      <c r="H221" s="37" t="n"/>
    </row>
    <row r="222">
      <c r="A222" s="34" t="n"/>
      <c r="B222" s="35" t="n"/>
      <c r="C222" s="35" t="n"/>
      <c r="D222" s="35" t="n"/>
      <c r="E222" s="36" t="n"/>
      <c r="F222" s="37">
        <f>IF($A222="","",TEXT($A222,"yyyy-mm"))</f>
        <v/>
      </c>
      <c r="G222" s="38" t="n"/>
      <c r="H222" s="37" t="n"/>
    </row>
    <row r="223">
      <c r="A223" s="34" t="n"/>
      <c r="B223" s="35" t="n"/>
      <c r="C223" s="35" t="n"/>
      <c r="D223" s="35" t="n"/>
      <c r="E223" s="36" t="n"/>
      <c r="F223" s="37">
        <f>IF($A223="","",TEXT($A223,"yyyy-mm"))</f>
        <v/>
      </c>
      <c r="G223" s="38" t="n"/>
      <c r="H223" s="37" t="n"/>
    </row>
    <row r="224">
      <c r="A224" s="34" t="n"/>
      <c r="B224" s="35" t="n"/>
      <c r="C224" s="35" t="n"/>
      <c r="D224" s="35" t="n"/>
      <c r="E224" s="36" t="n"/>
      <c r="F224" s="37">
        <f>IF($A224="","",TEXT($A224,"yyyy-mm"))</f>
        <v/>
      </c>
      <c r="G224" s="38" t="n"/>
      <c r="H224" s="37" t="n"/>
    </row>
    <row r="225">
      <c r="A225" s="34" t="n"/>
      <c r="B225" s="35" t="n"/>
      <c r="C225" s="35" t="n"/>
      <c r="D225" s="35" t="n"/>
      <c r="E225" s="36" t="n"/>
      <c r="F225" s="37">
        <f>IF($A225="","",TEXT($A225,"yyyy-mm"))</f>
        <v/>
      </c>
      <c r="G225" s="38" t="n"/>
      <c r="H225" s="37" t="n"/>
    </row>
    <row r="226">
      <c r="A226" s="34" t="n"/>
      <c r="B226" s="35" t="n"/>
      <c r="C226" s="35" t="n"/>
      <c r="D226" s="35" t="n"/>
      <c r="E226" s="36" t="n"/>
      <c r="F226" s="37">
        <f>IF($A226="","",TEXT($A226,"yyyy-mm"))</f>
        <v/>
      </c>
      <c r="G226" s="38" t="n"/>
      <c r="H226" s="37" t="n"/>
    </row>
    <row r="227">
      <c r="A227" s="34" t="n"/>
      <c r="B227" s="35" t="n"/>
      <c r="C227" s="35" t="n"/>
      <c r="D227" s="35" t="n"/>
      <c r="E227" s="36" t="n"/>
      <c r="F227" s="37">
        <f>IF($A227="","",TEXT($A227,"yyyy-mm"))</f>
        <v/>
      </c>
      <c r="G227" s="38" t="n"/>
      <c r="H227" s="37" t="n"/>
    </row>
    <row r="228">
      <c r="A228" s="34" t="n"/>
      <c r="B228" s="35" t="n"/>
      <c r="C228" s="35" t="n"/>
      <c r="D228" s="35" t="n"/>
      <c r="E228" s="36" t="n"/>
      <c r="F228" s="37">
        <f>IF($A228="","",TEXT($A228,"yyyy-mm"))</f>
        <v/>
      </c>
      <c r="G228" s="38" t="n"/>
      <c r="H228" s="37" t="n"/>
    </row>
    <row r="229">
      <c r="A229" s="34" t="n"/>
      <c r="B229" s="35" t="n"/>
      <c r="C229" s="35" t="n"/>
      <c r="D229" s="35" t="n"/>
      <c r="E229" s="36" t="n"/>
      <c r="F229" s="37">
        <f>IF($A229="","",TEXT($A229,"yyyy-mm"))</f>
        <v/>
      </c>
      <c r="G229" s="38" t="n"/>
      <c r="H229" s="37" t="n"/>
    </row>
    <row r="230">
      <c r="A230" s="34" t="n"/>
      <c r="B230" s="35" t="n"/>
      <c r="C230" s="35" t="n"/>
      <c r="D230" s="35" t="n"/>
      <c r="E230" s="36" t="n"/>
      <c r="F230" s="37">
        <f>IF($A230="","",TEXT($A230,"yyyy-mm"))</f>
        <v/>
      </c>
      <c r="G230" s="38" t="n"/>
      <c r="H230" s="37" t="n"/>
    </row>
    <row r="231">
      <c r="A231" s="34" t="n"/>
      <c r="B231" s="35" t="n"/>
      <c r="C231" s="35" t="n"/>
      <c r="D231" s="35" t="n"/>
      <c r="E231" s="36" t="n"/>
      <c r="F231" s="37">
        <f>IF($A231="","",TEXT($A231,"yyyy-mm"))</f>
        <v/>
      </c>
      <c r="G231" s="38" t="n"/>
      <c r="H231" s="37" t="n"/>
    </row>
    <row r="232">
      <c r="A232" s="34" t="n"/>
      <c r="B232" s="35" t="n"/>
      <c r="C232" s="35" t="n"/>
      <c r="D232" s="35" t="n"/>
      <c r="E232" s="36" t="n"/>
      <c r="F232" s="37">
        <f>IF($A232="","",TEXT($A232,"yyyy-mm"))</f>
        <v/>
      </c>
      <c r="G232" s="38" t="n"/>
      <c r="H232" s="37" t="n"/>
    </row>
    <row r="233">
      <c r="A233" s="34" t="n"/>
      <c r="B233" s="35" t="n"/>
      <c r="C233" s="35" t="n"/>
      <c r="D233" s="35" t="n"/>
      <c r="E233" s="36" t="n"/>
      <c r="F233" s="37">
        <f>IF($A233="","",TEXT($A233,"yyyy-mm"))</f>
        <v/>
      </c>
      <c r="G233" s="38" t="n"/>
      <c r="H233" s="37" t="n"/>
    </row>
    <row r="234">
      <c r="A234" s="34" t="n"/>
      <c r="B234" s="35" t="n"/>
      <c r="C234" s="35" t="n"/>
      <c r="D234" s="35" t="n"/>
      <c r="E234" s="36" t="n"/>
      <c r="F234" s="37">
        <f>IF($A234="","",TEXT($A234,"yyyy-mm"))</f>
        <v/>
      </c>
      <c r="G234" s="38" t="n"/>
      <c r="H234" s="37" t="n"/>
    </row>
    <row r="235">
      <c r="A235" s="34" t="n"/>
      <c r="B235" s="35" t="n"/>
      <c r="C235" s="35" t="n"/>
      <c r="D235" s="35" t="n"/>
      <c r="E235" s="36" t="n"/>
      <c r="F235" s="37">
        <f>IF($A235="","",TEXT($A235,"yyyy-mm"))</f>
        <v/>
      </c>
      <c r="G235" s="38" t="n"/>
      <c r="H235" s="37" t="n"/>
    </row>
    <row r="236">
      <c r="A236" s="34" t="n"/>
      <c r="B236" s="35" t="n"/>
      <c r="C236" s="35" t="n"/>
      <c r="D236" s="35" t="n"/>
      <c r="E236" s="36" t="n"/>
      <c r="F236" s="37">
        <f>IF($A236="","",TEXT($A236,"yyyy-mm"))</f>
        <v/>
      </c>
      <c r="G236" s="38" t="n"/>
      <c r="H236" s="37" t="n"/>
    </row>
    <row r="237">
      <c r="A237" s="34" t="n"/>
      <c r="B237" s="35" t="n"/>
      <c r="C237" s="35" t="n"/>
      <c r="D237" s="35" t="n"/>
      <c r="E237" s="36" t="n"/>
      <c r="F237" s="37">
        <f>IF($A237="","",TEXT($A237,"yyyy-mm"))</f>
        <v/>
      </c>
      <c r="G237" s="38" t="n"/>
      <c r="H237" s="37" t="n"/>
    </row>
    <row r="238">
      <c r="A238" s="34" t="n"/>
      <c r="B238" s="35" t="n"/>
      <c r="C238" s="35" t="n"/>
      <c r="D238" s="35" t="n"/>
      <c r="E238" s="36" t="n"/>
      <c r="F238" s="37">
        <f>IF($A238="","",TEXT($A238,"yyyy-mm"))</f>
        <v/>
      </c>
      <c r="G238" s="38" t="n"/>
      <c r="H238" s="37" t="n"/>
    </row>
    <row r="239">
      <c r="A239" s="34" t="n"/>
      <c r="B239" s="35" t="n"/>
      <c r="C239" s="35" t="n"/>
      <c r="D239" s="35" t="n"/>
      <c r="E239" s="36" t="n"/>
      <c r="F239" s="37">
        <f>IF($A239="","",TEXT($A239,"yyyy-mm"))</f>
        <v/>
      </c>
      <c r="G239" s="38" t="n"/>
      <c r="H239" s="37" t="n"/>
    </row>
    <row r="240">
      <c r="A240" s="34" t="n"/>
      <c r="B240" s="35" t="n"/>
      <c r="C240" s="35" t="n"/>
      <c r="D240" s="35" t="n"/>
      <c r="E240" s="36" t="n"/>
      <c r="F240" s="37">
        <f>IF($A240="","",TEXT($A240,"yyyy-mm"))</f>
        <v/>
      </c>
      <c r="G240" s="38" t="n"/>
      <c r="H240" s="37" t="n"/>
    </row>
    <row r="241">
      <c r="A241" s="34" t="n"/>
      <c r="B241" s="35" t="n"/>
      <c r="C241" s="35" t="n"/>
      <c r="D241" s="35" t="n"/>
      <c r="E241" s="36" t="n"/>
      <c r="F241" s="37">
        <f>IF($A241="","",TEXT($A241,"yyyy-mm"))</f>
        <v/>
      </c>
      <c r="G241" s="38" t="n"/>
      <c r="H241" s="37" t="n"/>
    </row>
    <row r="242">
      <c r="A242" s="34" t="n"/>
      <c r="B242" s="35" t="n"/>
      <c r="C242" s="35" t="n"/>
      <c r="D242" s="35" t="n"/>
      <c r="E242" s="36" t="n"/>
      <c r="F242" s="37">
        <f>IF($A242="","",TEXT($A242,"yyyy-mm"))</f>
        <v/>
      </c>
      <c r="G242" s="38" t="n"/>
      <c r="H242" s="37" t="n"/>
    </row>
    <row r="243">
      <c r="A243" s="34" t="n"/>
      <c r="B243" s="35" t="n"/>
      <c r="C243" s="35" t="n"/>
      <c r="D243" s="35" t="n"/>
      <c r="E243" s="36" t="n"/>
      <c r="F243" s="37">
        <f>IF($A243="","",TEXT($A243,"yyyy-mm"))</f>
        <v/>
      </c>
      <c r="G243" s="38" t="n"/>
      <c r="H243" s="37" t="n"/>
    </row>
    <row r="244">
      <c r="A244" s="34" t="n"/>
      <c r="B244" s="35" t="n"/>
      <c r="C244" s="35" t="n"/>
      <c r="D244" s="35" t="n"/>
      <c r="E244" s="36" t="n"/>
      <c r="F244" s="37">
        <f>IF($A244="","",TEXT($A244,"yyyy-mm"))</f>
        <v/>
      </c>
      <c r="G244" s="38" t="n"/>
      <c r="H244" s="37" t="n"/>
    </row>
    <row r="245">
      <c r="A245" s="34" t="n"/>
      <c r="B245" s="35" t="n"/>
      <c r="C245" s="35" t="n"/>
      <c r="D245" s="35" t="n"/>
      <c r="E245" s="36" t="n"/>
      <c r="F245" s="37">
        <f>IF($A245="","",TEXT($A245,"yyyy-mm"))</f>
        <v/>
      </c>
      <c r="G245" s="38" t="n"/>
      <c r="H245" s="37" t="n"/>
    </row>
    <row r="246">
      <c r="A246" s="34" t="n"/>
      <c r="B246" s="35" t="n"/>
      <c r="C246" s="35" t="n"/>
      <c r="D246" s="35" t="n"/>
      <c r="E246" s="36" t="n"/>
      <c r="F246" s="37">
        <f>IF($A246="","",TEXT($A246,"yyyy-mm"))</f>
        <v/>
      </c>
      <c r="G246" s="38" t="n"/>
      <c r="H246" s="37" t="n"/>
    </row>
    <row r="247">
      <c r="A247" s="34" t="n"/>
      <c r="B247" s="35" t="n"/>
      <c r="C247" s="35" t="n"/>
      <c r="D247" s="35" t="n"/>
      <c r="E247" s="36" t="n"/>
      <c r="F247" s="37">
        <f>IF($A247="","",TEXT($A247,"yyyy-mm"))</f>
        <v/>
      </c>
      <c r="G247" s="38" t="n"/>
      <c r="H247" s="37" t="n"/>
    </row>
    <row r="248">
      <c r="A248" s="34" t="n"/>
      <c r="B248" s="35" t="n"/>
      <c r="C248" s="35" t="n"/>
      <c r="D248" s="35" t="n"/>
      <c r="E248" s="36" t="n"/>
      <c r="F248" s="37">
        <f>IF($A248="","",TEXT($A248,"yyyy-mm"))</f>
        <v/>
      </c>
      <c r="G248" s="38" t="n"/>
      <c r="H248" s="37" t="n"/>
    </row>
    <row r="249">
      <c r="A249" s="34" t="n"/>
      <c r="B249" s="35" t="n"/>
      <c r="C249" s="35" t="n"/>
      <c r="D249" s="35" t="n"/>
      <c r="E249" s="36" t="n"/>
      <c r="F249" s="37">
        <f>IF($A249="","",TEXT($A249,"yyyy-mm"))</f>
        <v/>
      </c>
      <c r="G249" s="38" t="n"/>
      <c r="H249" s="37" t="n"/>
    </row>
    <row r="250">
      <c r="A250" s="34" t="n"/>
      <c r="B250" s="35" t="n"/>
      <c r="C250" s="35" t="n"/>
      <c r="D250" s="35" t="n"/>
      <c r="E250" s="36" t="n"/>
      <c r="F250" s="37">
        <f>IF($A250="","",TEXT($A250,"yyyy-mm"))</f>
        <v/>
      </c>
      <c r="G250" s="38" t="n"/>
      <c r="H250" s="37" t="n"/>
    </row>
    <row r="251">
      <c r="A251" s="34" t="n"/>
      <c r="B251" s="35" t="n"/>
      <c r="C251" s="35" t="n"/>
      <c r="D251" s="35" t="n"/>
      <c r="E251" s="36" t="n"/>
      <c r="F251" s="37">
        <f>IF($A251="","",TEXT($A251,"yyyy-mm"))</f>
        <v/>
      </c>
      <c r="G251" s="38" t="n"/>
      <c r="H251" s="37" t="n"/>
    </row>
    <row r="252">
      <c r="A252" s="34" t="n"/>
      <c r="B252" s="35" t="n"/>
      <c r="C252" s="35" t="n"/>
      <c r="D252" s="35" t="n"/>
      <c r="E252" s="36" t="n"/>
      <c r="F252" s="37">
        <f>IF($A252="","",TEXT($A252,"yyyy-mm"))</f>
        <v/>
      </c>
      <c r="G252" s="38" t="n"/>
      <c r="H252" s="37" t="n"/>
    </row>
    <row r="253">
      <c r="A253" s="34" t="n"/>
      <c r="B253" s="35" t="n"/>
      <c r="C253" s="35" t="n"/>
      <c r="D253" s="35" t="n"/>
      <c r="E253" s="36" t="n"/>
      <c r="F253" s="37">
        <f>IF($A253="","",TEXT($A253,"yyyy-mm"))</f>
        <v/>
      </c>
      <c r="G253" s="38" t="n"/>
      <c r="H253" s="37" t="n"/>
    </row>
    <row r="254">
      <c r="A254" s="34" t="n"/>
      <c r="B254" s="35" t="n"/>
      <c r="C254" s="35" t="n"/>
      <c r="D254" s="35" t="n"/>
      <c r="E254" s="36" t="n"/>
      <c r="F254" s="37">
        <f>IF($A254="","",TEXT($A254,"yyyy-mm"))</f>
        <v/>
      </c>
      <c r="G254" s="38" t="n"/>
      <c r="H254" s="37" t="n"/>
    </row>
    <row r="255">
      <c r="A255" s="34" t="n"/>
      <c r="B255" s="35" t="n"/>
      <c r="C255" s="35" t="n"/>
      <c r="D255" s="35" t="n"/>
      <c r="E255" s="36" t="n"/>
      <c r="F255" s="37">
        <f>IF($A255="","",TEXT($A255,"yyyy-mm"))</f>
        <v/>
      </c>
      <c r="G255" s="38" t="n"/>
      <c r="H255" s="37" t="n"/>
    </row>
    <row r="256">
      <c r="A256" s="34" t="n"/>
      <c r="B256" s="35" t="n"/>
      <c r="C256" s="35" t="n"/>
      <c r="D256" s="35" t="n"/>
      <c r="E256" s="36" t="n"/>
      <c r="F256" s="37">
        <f>IF($A256="","",TEXT($A256,"yyyy-mm"))</f>
        <v/>
      </c>
      <c r="G256" s="38" t="n"/>
      <c r="H256" s="37" t="n"/>
    </row>
    <row r="257">
      <c r="A257" s="34" t="n"/>
      <c r="B257" s="35" t="n"/>
      <c r="C257" s="35" t="n"/>
      <c r="D257" s="35" t="n"/>
      <c r="E257" s="36" t="n"/>
      <c r="F257" s="37">
        <f>IF($A257="","",TEXT($A257,"yyyy-mm"))</f>
        <v/>
      </c>
      <c r="G257" s="38" t="n"/>
      <c r="H257" s="37" t="n"/>
    </row>
    <row r="258">
      <c r="A258" s="34" t="n"/>
      <c r="B258" s="35" t="n"/>
      <c r="C258" s="35" t="n"/>
      <c r="D258" s="35" t="n"/>
      <c r="E258" s="36" t="n"/>
      <c r="F258" s="37">
        <f>IF($A258="","",TEXT($A258,"yyyy-mm"))</f>
        <v/>
      </c>
      <c r="G258" s="38" t="n"/>
      <c r="H258" s="37" t="n"/>
    </row>
    <row r="259">
      <c r="A259" s="34" t="n"/>
      <c r="B259" s="35" t="n"/>
      <c r="C259" s="35" t="n"/>
      <c r="D259" s="35" t="n"/>
      <c r="E259" s="36" t="n"/>
      <c r="F259" s="37">
        <f>IF($A259="","",TEXT($A259,"yyyy-mm"))</f>
        <v/>
      </c>
      <c r="G259" s="38" t="n"/>
      <c r="H259" s="37" t="n"/>
    </row>
    <row r="260">
      <c r="A260" s="34" t="n"/>
      <c r="B260" s="35" t="n"/>
      <c r="C260" s="35" t="n"/>
      <c r="D260" s="35" t="n"/>
      <c r="E260" s="36" t="n"/>
      <c r="F260" s="37">
        <f>IF($A260="","",TEXT($A260,"yyyy-mm"))</f>
        <v/>
      </c>
      <c r="G260" s="38" t="n"/>
      <c r="H260" s="37" t="n"/>
    </row>
    <row r="261">
      <c r="A261" s="34" t="n"/>
      <c r="B261" s="35" t="n"/>
      <c r="C261" s="35" t="n"/>
      <c r="D261" s="35" t="n"/>
      <c r="E261" s="36" t="n"/>
      <c r="F261" s="37">
        <f>IF($A261="","",TEXT($A261,"yyyy-mm"))</f>
        <v/>
      </c>
      <c r="G261" s="38" t="n"/>
      <c r="H261" s="37" t="n"/>
    </row>
    <row r="262">
      <c r="A262" s="34" t="n"/>
      <c r="B262" s="35" t="n"/>
      <c r="C262" s="35" t="n"/>
      <c r="D262" s="35" t="n"/>
      <c r="E262" s="36" t="n"/>
      <c r="F262" s="37">
        <f>IF($A262="","",TEXT($A262,"yyyy-mm"))</f>
        <v/>
      </c>
      <c r="G262" s="38" t="n"/>
      <c r="H262" s="37" t="n"/>
    </row>
    <row r="263">
      <c r="A263" s="34" t="n"/>
      <c r="B263" s="35" t="n"/>
      <c r="C263" s="35" t="n"/>
      <c r="D263" s="35" t="n"/>
      <c r="E263" s="36" t="n"/>
      <c r="F263" s="37">
        <f>IF($A263="","",TEXT($A263,"yyyy-mm"))</f>
        <v/>
      </c>
      <c r="G263" s="38" t="n"/>
      <c r="H263" s="37" t="n"/>
    </row>
    <row r="264">
      <c r="A264" s="34" t="n"/>
      <c r="B264" s="35" t="n"/>
      <c r="C264" s="35" t="n"/>
      <c r="D264" s="35" t="n"/>
      <c r="E264" s="36" t="n"/>
      <c r="F264" s="37">
        <f>IF($A264="","",TEXT($A264,"yyyy-mm"))</f>
        <v/>
      </c>
      <c r="G264" s="38" t="n"/>
      <c r="H264" s="37" t="n"/>
    </row>
    <row r="265">
      <c r="A265" s="34" t="n"/>
      <c r="B265" s="35" t="n"/>
      <c r="C265" s="35" t="n"/>
      <c r="D265" s="35" t="n"/>
      <c r="E265" s="36" t="n"/>
      <c r="F265" s="37">
        <f>IF($A265="","",TEXT($A265,"yyyy-mm"))</f>
        <v/>
      </c>
      <c r="G265" s="38" t="n"/>
      <c r="H265" s="37" t="n"/>
    </row>
    <row r="266">
      <c r="A266" s="34" t="n"/>
      <c r="B266" s="35" t="n"/>
      <c r="C266" s="35" t="n"/>
      <c r="D266" s="35" t="n"/>
      <c r="E266" s="36" t="n"/>
      <c r="F266" s="37">
        <f>IF($A266="","",TEXT($A266,"yyyy-mm"))</f>
        <v/>
      </c>
      <c r="G266" s="38" t="n"/>
      <c r="H266" s="37" t="n"/>
    </row>
    <row r="267">
      <c r="A267" s="34" t="n"/>
      <c r="B267" s="35" t="n"/>
      <c r="C267" s="35" t="n"/>
      <c r="D267" s="35" t="n"/>
      <c r="E267" s="36" t="n"/>
      <c r="F267" s="37">
        <f>IF($A267="","",TEXT($A267,"yyyy-mm"))</f>
        <v/>
      </c>
      <c r="G267" s="38" t="n"/>
      <c r="H267" s="37" t="n"/>
    </row>
    <row r="268">
      <c r="A268" s="34" t="n"/>
      <c r="B268" s="35" t="n"/>
      <c r="C268" s="35" t="n"/>
      <c r="D268" s="35" t="n"/>
      <c r="E268" s="36" t="n"/>
      <c r="F268" s="37">
        <f>IF($A268="","",TEXT($A268,"yyyy-mm"))</f>
        <v/>
      </c>
      <c r="G268" s="38" t="n"/>
      <c r="H268" s="37" t="n"/>
    </row>
    <row r="269">
      <c r="A269" s="34" t="n"/>
      <c r="B269" s="35" t="n"/>
      <c r="C269" s="35" t="n"/>
      <c r="D269" s="35" t="n"/>
      <c r="E269" s="36" t="n"/>
      <c r="F269" s="37">
        <f>IF($A269="","",TEXT($A269,"yyyy-mm"))</f>
        <v/>
      </c>
      <c r="G269" s="38" t="n"/>
      <c r="H269" s="37" t="n"/>
    </row>
    <row r="270">
      <c r="A270" s="34" t="n"/>
      <c r="B270" s="35" t="n"/>
      <c r="C270" s="35" t="n"/>
      <c r="D270" s="35" t="n"/>
      <c r="E270" s="36" t="n"/>
      <c r="F270" s="37">
        <f>IF($A270="","",TEXT($A270,"yyyy-mm"))</f>
        <v/>
      </c>
      <c r="G270" s="38" t="n"/>
      <c r="H270" s="37" t="n"/>
    </row>
    <row r="271">
      <c r="A271" s="34" t="n"/>
      <c r="B271" s="35" t="n"/>
      <c r="C271" s="35" t="n"/>
      <c r="D271" s="35" t="n"/>
      <c r="E271" s="36" t="n"/>
      <c r="F271" s="37">
        <f>IF($A271="","",TEXT($A271,"yyyy-mm"))</f>
        <v/>
      </c>
      <c r="G271" s="38" t="n"/>
      <c r="H271" s="37" t="n"/>
    </row>
    <row r="272">
      <c r="A272" s="34" t="n"/>
      <c r="B272" s="35" t="n"/>
      <c r="C272" s="35" t="n"/>
      <c r="D272" s="35" t="n"/>
      <c r="E272" s="36" t="n"/>
      <c r="F272" s="37">
        <f>IF($A272="","",TEXT($A272,"yyyy-mm"))</f>
        <v/>
      </c>
      <c r="G272" s="38" t="n"/>
      <c r="H272" s="37" t="n"/>
    </row>
    <row r="273">
      <c r="A273" s="34" t="n"/>
      <c r="B273" s="35" t="n"/>
      <c r="C273" s="35" t="n"/>
      <c r="D273" s="35" t="n"/>
      <c r="E273" s="36" t="n"/>
      <c r="F273" s="37">
        <f>IF($A273="","",TEXT($A273,"yyyy-mm"))</f>
        <v/>
      </c>
      <c r="G273" s="38" t="n"/>
      <c r="H273" s="37" t="n"/>
    </row>
    <row r="274">
      <c r="A274" s="34" t="n"/>
      <c r="B274" s="35" t="n"/>
      <c r="C274" s="35" t="n"/>
      <c r="D274" s="35" t="n"/>
      <c r="E274" s="36" t="n"/>
      <c r="F274" s="37">
        <f>IF($A274="","",TEXT($A274,"yyyy-mm"))</f>
        <v/>
      </c>
      <c r="G274" s="38" t="n"/>
      <c r="H274" s="37" t="n"/>
    </row>
    <row r="275">
      <c r="A275" s="34" t="n"/>
      <c r="B275" s="35" t="n"/>
      <c r="C275" s="35" t="n"/>
      <c r="D275" s="35" t="n"/>
      <c r="E275" s="36" t="n"/>
      <c r="F275" s="37">
        <f>IF($A275="","",TEXT($A275,"yyyy-mm"))</f>
        <v/>
      </c>
      <c r="G275" s="38" t="n"/>
      <c r="H275" s="37" t="n"/>
    </row>
    <row r="276">
      <c r="A276" s="34" t="n"/>
      <c r="B276" s="35" t="n"/>
      <c r="C276" s="35" t="n"/>
      <c r="D276" s="35" t="n"/>
      <c r="E276" s="36" t="n"/>
      <c r="F276" s="37">
        <f>IF($A276="","",TEXT($A276,"yyyy-mm"))</f>
        <v/>
      </c>
      <c r="G276" s="38" t="n"/>
      <c r="H276" s="37" t="n"/>
    </row>
    <row r="277">
      <c r="A277" s="34" t="n"/>
      <c r="B277" s="35" t="n"/>
      <c r="C277" s="35" t="n"/>
      <c r="D277" s="35" t="n"/>
      <c r="E277" s="36" t="n"/>
      <c r="F277" s="37">
        <f>IF($A277="","",TEXT($A277,"yyyy-mm"))</f>
        <v/>
      </c>
      <c r="G277" s="38" t="n"/>
      <c r="H277" s="37" t="n"/>
    </row>
    <row r="278">
      <c r="A278" s="34" t="n"/>
      <c r="B278" s="35" t="n"/>
      <c r="C278" s="35" t="n"/>
      <c r="D278" s="35" t="n"/>
      <c r="E278" s="36" t="n"/>
      <c r="F278" s="37">
        <f>IF($A278="","",TEXT($A278,"yyyy-mm"))</f>
        <v/>
      </c>
      <c r="G278" s="38" t="n"/>
      <c r="H278" s="37" t="n"/>
    </row>
    <row r="279">
      <c r="A279" s="34" t="n"/>
      <c r="B279" s="35" t="n"/>
      <c r="C279" s="35" t="n"/>
      <c r="D279" s="35" t="n"/>
      <c r="E279" s="36" t="n"/>
      <c r="F279" s="37">
        <f>IF($A279="","",TEXT($A279,"yyyy-mm"))</f>
        <v/>
      </c>
      <c r="G279" s="38" t="n"/>
      <c r="H279" s="37" t="n"/>
    </row>
    <row r="280">
      <c r="A280" s="34" t="n"/>
      <c r="B280" s="35" t="n"/>
      <c r="C280" s="35" t="n"/>
      <c r="D280" s="35" t="n"/>
      <c r="E280" s="36" t="n"/>
      <c r="F280" s="37">
        <f>IF($A280="","",TEXT($A280,"yyyy-mm"))</f>
        <v/>
      </c>
      <c r="G280" s="38" t="n"/>
      <c r="H280" s="37" t="n"/>
    </row>
    <row r="281">
      <c r="A281" s="34" t="n"/>
      <c r="B281" s="35" t="n"/>
      <c r="C281" s="35" t="n"/>
      <c r="D281" s="35" t="n"/>
      <c r="E281" s="36" t="n"/>
      <c r="F281" s="37">
        <f>IF($A281="","",TEXT($A281,"yyyy-mm"))</f>
        <v/>
      </c>
      <c r="G281" s="38" t="n"/>
      <c r="H281" s="37" t="n"/>
    </row>
    <row r="282">
      <c r="A282" s="34" t="n"/>
      <c r="B282" s="35" t="n"/>
      <c r="C282" s="35" t="n"/>
      <c r="D282" s="35" t="n"/>
      <c r="E282" s="36" t="n"/>
      <c r="F282" s="37">
        <f>IF($A282="","",TEXT($A282,"yyyy-mm"))</f>
        <v/>
      </c>
      <c r="G282" s="38" t="n"/>
      <c r="H282" s="37" t="n"/>
    </row>
    <row r="283">
      <c r="A283" s="34" t="n"/>
      <c r="B283" s="35" t="n"/>
      <c r="C283" s="35" t="n"/>
      <c r="D283" s="35" t="n"/>
      <c r="E283" s="36" t="n"/>
      <c r="F283" s="37">
        <f>IF($A283="","",TEXT($A283,"yyyy-mm"))</f>
        <v/>
      </c>
      <c r="G283" s="38" t="n"/>
      <c r="H283" s="37" t="n"/>
    </row>
    <row r="284">
      <c r="A284" s="34" t="n"/>
      <c r="B284" s="35" t="n"/>
      <c r="C284" s="35" t="n"/>
      <c r="D284" s="35" t="n"/>
      <c r="E284" s="36" t="n"/>
      <c r="F284" s="37">
        <f>IF($A284="","",TEXT($A284,"yyyy-mm"))</f>
        <v/>
      </c>
      <c r="G284" s="38" t="n"/>
      <c r="H284" s="37" t="n"/>
    </row>
    <row r="285">
      <c r="A285" s="34" t="n"/>
      <c r="B285" s="35" t="n"/>
      <c r="C285" s="35" t="n"/>
      <c r="D285" s="35" t="n"/>
      <c r="E285" s="36" t="n"/>
      <c r="F285" s="37">
        <f>IF($A285="","",TEXT($A285,"yyyy-mm"))</f>
        <v/>
      </c>
      <c r="G285" s="38" t="n"/>
      <c r="H285" s="37" t="n"/>
    </row>
    <row r="286">
      <c r="A286" s="34" t="n"/>
      <c r="B286" s="35" t="n"/>
      <c r="C286" s="35" t="n"/>
      <c r="D286" s="35" t="n"/>
      <c r="E286" s="36" t="n"/>
      <c r="F286" s="37">
        <f>IF($A286="","",TEXT($A286,"yyyy-mm"))</f>
        <v/>
      </c>
      <c r="G286" s="38" t="n"/>
      <c r="H286" s="37" t="n"/>
    </row>
    <row r="287">
      <c r="A287" s="34" t="n"/>
      <c r="B287" s="35" t="n"/>
      <c r="C287" s="35" t="n"/>
      <c r="D287" s="35" t="n"/>
      <c r="E287" s="36" t="n"/>
      <c r="F287" s="37">
        <f>IF($A287="","",TEXT($A287,"yyyy-mm"))</f>
        <v/>
      </c>
      <c r="G287" s="38" t="n"/>
      <c r="H287" s="37" t="n"/>
    </row>
    <row r="288">
      <c r="A288" s="34" t="n"/>
      <c r="B288" s="35" t="n"/>
      <c r="C288" s="35" t="n"/>
      <c r="D288" s="35" t="n"/>
      <c r="E288" s="36" t="n"/>
      <c r="F288" s="37">
        <f>IF($A288="","",TEXT($A288,"yyyy-mm"))</f>
        <v/>
      </c>
      <c r="G288" s="38" t="n"/>
      <c r="H288" s="37" t="n"/>
    </row>
    <row r="289">
      <c r="A289" s="34" t="n"/>
      <c r="B289" s="35" t="n"/>
      <c r="C289" s="35" t="n"/>
      <c r="D289" s="35" t="n"/>
      <c r="E289" s="36" t="n"/>
      <c r="F289" s="37">
        <f>IF($A289="","",TEXT($A289,"yyyy-mm"))</f>
        <v/>
      </c>
      <c r="G289" s="38" t="n"/>
      <c r="H289" s="37" t="n"/>
    </row>
    <row r="290">
      <c r="A290" s="34" t="n"/>
      <c r="B290" s="35" t="n"/>
      <c r="C290" s="35" t="n"/>
      <c r="D290" s="35" t="n"/>
      <c r="E290" s="36" t="n"/>
      <c r="F290" s="37">
        <f>IF($A290="","",TEXT($A290,"yyyy-mm"))</f>
        <v/>
      </c>
      <c r="G290" s="38" t="n"/>
      <c r="H290" s="37" t="n"/>
    </row>
    <row r="291">
      <c r="A291" s="34" t="n"/>
      <c r="B291" s="35" t="n"/>
      <c r="C291" s="35" t="n"/>
      <c r="D291" s="35" t="n"/>
      <c r="E291" s="36" t="n"/>
      <c r="F291" s="37">
        <f>IF($A291="","",TEXT($A291,"yyyy-mm"))</f>
        <v/>
      </c>
      <c r="G291" s="38" t="n"/>
      <c r="H291" s="37" t="n"/>
    </row>
    <row r="292">
      <c r="A292" s="34" t="n"/>
      <c r="B292" s="35" t="n"/>
      <c r="C292" s="35" t="n"/>
      <c r="D292" s="35" t="n"/>
      <c r="E292" s="36" t="n"/>
      <c r="F292" s="37">
        <f>IF($A292="","",TEXT($A292,"yyyy-mm"))</f>
        <v/>
      </c>
      <c r="G292" s="38" t="n"/>
      <c r="H292" s="37" t="n"/>
    </row>
    <row r="293">
      <c r="A293" s="34" t="n"/>
      <c r="B293" s="35" t="n"/>
      <c r="C293" s="35" t="n"/>
      <c r="D293" s="35" t="n"/>
      <c r="E293" s="36" t="n"/>
      <c r="F293" s="37">
        <f>IF($A293="","",TEXT($A293,"yyyy-mm"))</f>
        <v/>
      </c>
      <c r="G293" s="38" t="n"/>
      <c r="H293" s="37" t="n"/>
    </row>
    <row r="294">
      <c r="A294" s="34" t="n"/>
      <c r="B294" s="35" t="n"/>
      <c r="C294" s="35" t="n"/>
      <c r="D294" s="35" t="n"/>
      <c r="E294" s="36" t="n"/>
      <c r="F294" s="37">
        <f>IF($A294="","",TEXT($A294,"yyyy-mm"))</f>
        <v/>
      </c>
      <c r="G294" s="38" t="n"/>
      <c r="H294" s="37" t="n"/>
    </row>
    <row r="295">
      <c r="A295" s="34" t="n"/>
      <c r="B295" s="35" t="n"/>
      <c r="C295" s="35" t="n"/>
      <c r="D295" s="35" t="n"/>
      <c r="E295" s="36" t="n"/>
      <c r="F295" s="37">
        <f>IF($A295="","",TEXT($A295,"yyyy-mm"))</f>
        <v/>
      </c>
      <c r="G295" s="38" t="n"/>
      <c r="H295" s="37" t="n"/>
    </row>
    <row r="296">
      <c r="A296" s="34" t="n"/>
      <c r="B296" s="35" t="n"/>
      <c r="C296" s="35" t="n"/>
      <c r="D296" s="35" t="n"/>
      <c r="E296" s="36" t="n"/>
      <c r="F296" s="37">
        <f>IF($A296="","",TEXT($A296,"yyyy-mm"))</f>
        <v/>
      </c>
      <c r="G296" s="38" t="n"/>
      <c r="H296" s="37" t="n"/>
    </row>
    <row r="297">
      <c r="A297" s="34" t="n"/>
      <c r="B297" s="35" t="n"/>
      <c r="C297" s="35" t="n"/>
      <c r="D297" s="35" t="n"/>
      <c r="E297" s="36" t="n"/>
      <c r="F297" s="37">
        <f>IF($A297="","",TEXT($A297,"yyyy-mm"))</f>
        <v/>
      </c>
      <c r="G297" s="38" t="n"/>
      <c r="H297" s="37" t="n"/>
    </row>
    <row r="298">
      <c r="A298" s="34" t="n"/>
      <c r="B298" s="35" t="n"/>
      <c r="C298" s="35" t="n"/>
      <c r="D298" s="35" t="n"/>
      <c r="E298" s="36" t="n"/>
      <c r="F298" s="37">
        <f>IF($A298="","",TEXT($A298,"yyyy-mm"))</f>
        <v/>
      </c>
      <c r="G298" s="38" t="n"/>
      <c r="H298" s="37" t="n"/>
    </row>
    <row r="299">
      <c r="A299" s="34" t="n"/>
      <c r="B299" s="35" t="n"/>
      <c r="C299" s="35" t="n"/>
      <c r="D299" s="35" t="n"/>
      <c r="E299" s="36" t="n"/>
      <c r="F299" s="37">
        <f>IF($A299="","",TEXT($A299,"yyyy-mm"))</f>
        <v/>
      </c>
      <c r="G299" s="38" t="n"/>
      <c r="H299" s="37" t="n"/>
    </row>
    <row r="300">
      <c r="A300" s="34" t="n"/>
      <c r="B300" s="35" t="n"/>
      <c r="C300" s="35" t="n"/>
      <c r="D300" s="35" t="n"/>
      <c r="E300" s="36" t="n"/>
      <c r="F300" s="37">
        <f>IF($A300="","",TEXT($A300,"yyyy-mm"))</f>
        <v/>
      </c>
      <c r="G300" s="38" t="n"/>
      <c r="H300" s="37" t="n"/>
    </row>
    <row r="301">
      <c r="A301" s="34" t="n"/>
      <c r="B301" s="35" t="n"/>
      <c r="C301" s="35" t="n"/>
      <c r="D301" s="35" t="n"/>
      <c r="E301" s="36" t="n"/>
      <c r="F301" s="37">
        <f>IF($A301="","",TEXT($A301,"yyyy-mm"))</f>
        <v/>
      </c>
      <c r="G301" s="38" t="n"/>
      <c r="H301" s="37" t="n"/>
    </row>
    <row r="302">
      <c r="A302" s="34" t="n"/>
      <c r="B302" s="35" t="n"/>
      <c r="C302" s="35" t="n"/>
      <c r="D302" s="35" t="n"/>
      <c r="E302" s="36" t="n"/>
      <c r="F302" s="37">
        <f>IF($A302="","",TEXT($A302,"yyyy-mm"))</f>
        <v/>
      </c>
      <c r="G302" s="38" t="n"/>
      <c r="H302" s="37" t="n"/>
    </row>
    <row r="303">
      <c r="A303" s="34" t="n"/>
      <c r="B303" s="35" t="n"/>
      <c r="C303" s="35" t="n"/>
      <c r="D303" s="35" t="n"/>
      <c r="E303" s="36" t="n"/>
      <c r="F303" s="37">
        <f>IF($A303="","",TEXT($A303,"yyyy-mm"))</f>
        <v/>
      </c>
      <c r="G303" s="38" t="n"/>
      <c r="H303" s="37" t="n"/>
    </row>
    <row r="304">
      <c r="A304" s="34" t="n"/>
      <c r="B304" s="35" t="n"/>
      <c r="C304" s="35" t="n"/>
      <c r="D304" s="35" t="n"/>
      <c r="E304" s="36" t="n"/>
      <c r="F304" s="37">
        <f>IF($A304="","",TEXT($A304,"yyyy-mm"))</f>
        <v/>
      </c>
      <c r="G304" s="38" t="n"/>
      <c r="H304" s="37" t="n"/>
    </row>
    <row r="305">
      <c r="A305" s="34" t="n"/>
      <c r="B305" s="35" t="n"/>
      <c r="C305" s="35" t="n"/>
      <c r="D305" s="35" t="n"/>
      <c r="E305" s="36" t="n"/>
      <c r="F305" s="37">
        <f>IF($A305="","",TEXT($A305,"yyyy-mm"))</f>
        <v/>
      </c>
      <c r="G305" s="38" t="n"/>
      <c r="H305" s="37" t="n"/>
    </row>
    <row r="306">
      <c r="A306" s="34" t="n"/>
      <c r="B306" s="35" t="n"/>
      <c r="C306" s="35" t="n"/>
      <c r="D306" s="35" t="n"/>
      <c r="E306" s="36" t="n"/>
      <c r="F306" s="37">
        <f>IF($A306="","",TEXT($A306,"yyyy-mm"))</f>
        <v/>
      </c>
      <c r="G306" s="38" t="n"/>
      <c r="H306" s="37" t="n"/>
    </row>
    <row r="307">
      <c r="A307" s="34" t="n"/>
      <c r="B307" s="35" t="n"/>
      <c r="C307" s="35" t="n"/>
      <c r="D307" s="35" t="n"/>
      <c r="E307" s="36" t="n"/>
      <c r="F307" s="37">
        <f>IF($A307="","",TEXT($A307,"yyyy-mm"))</f>
        <v/>
      </c>
      <c r="G307" s="38" t="n"/>
      <c r="H307" s="37" t="n"/>
    </row>
    <row r="308">
      <c r="A308" s="34" t="n"/>
      <c r="B308" s="35" t="n"/>
      <c r="C308" s="35" t="n"/>
      <c r="D308" s="35" t="n"/>
      <c r="E308" s="36" t="n"/>
      <c r="F308" s="37">
        <f>IF($A308="","",TEXT($A308,"yyyy-mm"))</f>
        <v/>
      </c>
      <c r="G308" s="38" t="n"/>
      <c r="H308" s="37" t="n"/>
    </row>
    <row r="309">
      <c r="A309" s="34" t="n"/>
      <c r="B309" s="35" t="n"/>
      <c r="C309" s="35" t="n"/>
      <c r="D309" s="35" t="n"/>
      <c r="E309" s="36" t="n"/>
      <c r="F309" s="37">
        <f>IF($A309="","",TEXT($A309,"yyyy-mm"))</f>
        <v/>
      </c>
      <c r="G309" s="38" t="n"/>
      <c r="H309" s="37" t="n"/>
    </row>
    <row r="310">
      <c r="A310" s="34" t="n"/>
      <c r="B310" s="35" t="n"/>
      <c r="C310" s="35" t="n"/>
      <c r="D310" s="35" t="n"/>
      <c r="E310" s="36" t="n"/>
      <c r="F310" s="37">
        <f>IF($A310="","",TEXT($A310,"yyyy-mm"))</f>
        <v/>
      </c>
      <c r="G310" s="38" t="n"/>
      <c r="H310" s="37" t="n"/>
    </row>
    <row r="311">
      <c r="A311" s="34" t="n"/>
      <c r="B311" s="35" t="n"/>
      <c r="C311" s="35" t="n"/>
      <c r="D311" s="35" t="n"/>
      <c r="E311" s="36" t="n"/>
      <c r="F311" s="37">
        <f>IF($A311="","",TEXT($A311,"yyyy-mm"))</f>
        <v/>
      </c>
      <c r="G311" s="38" t="n"/>
      <c r="H311" s="37" t="n"/>
    </row>
    <row r="312">
      <c r="A312" s="34" t="n"/>
      <c r="B312" s="35" t="n"/>
      <c r="C312" s="35" t="n"/>
      <c r="D312" s="35" t="n"/>
      <c r="E312" s="36" t="n"/>
      <c r="F312" s="37">
        <f>IF($A312="","",TEXT($A312,"yyyy-mm"))</f>
        <v/>
      </c>
      <c r="G312" s="38" t="n"/>
      <c r="H312" s="37" t="n"/>
    </row>
    <row r="313">
      <c r="A313" s="34" t="n"/>
      <c r="B313" s="35" t="n"/>
      <c r="C313" s="35" t="n"/>
      <c r="D313" s="35" t="n"/>
      <c r="E313" s="36" t="n"/>
      <c r="F313" s="37">
        <f>IF($A313="","",TEXT($A313,"yyyy-mm"))</f>
        <v/>
      </c>
      <c r="G313" s="38" t="n"/>
      <c r="H313" s="37" t="n"/>
    </row>
    <row r="314">
      <c r="A314" s="34" t="n"/>
      <c r="B314" s="35" t="n"/>
      <c r="C314" s="35" t="n"/>
      <c r="D314" s="35" t="n"/>
      <c r="E314" s="36" t="n"/>
      <c r="F314" s="37">
        <f>IF($A314="","",TEXT($A314,"yyyy-mm"))</f>
        <v/>
      </c>
      <c r="G314" s="38" t="n"/>
      <c r="H314" s="37" t="n"/>
    </row>
    <row r="315">
      <c r="A315" s="34" t="n"/>
      <c r="B315" s="35" t="n"/>
      <c r="C315" s="35" t="n"/>
      <c r="D315" s="35" t="n"/>
      <c r="E315" s="36" t="n"/>
      <c r="F315" s="37">
        <f>IF($A315="","",TEXT($A315,"yyyy-mm"))</f>
        <v/>
      </c>
      <c r="G315" s="38" t="n"/>
      <c r="H315" s="37" t="n"/>
    </row>
    <row r="316">
      <c r="A316" s="34" t="n"/>
      <c r="B316" s="35" t="n"/>
      <c r="C316" s="35" t="n"/>
      <c r="D316" s="35" t="n"/>
      <c r="E316" s="36" t="n"/>
      <c r="F316" s="37">
        <f>IF($A316="","",TEXT($A316,"yyyy-mm"))</f>
        <v/>
      </c>
      <c r="G316" s="38" t="n"/>
      <c r="H316" s="37" t="n"/>
    </row>
    <row r="317">
      <c r="A317" s="34" t="n"/>
      <c r="B317" s="35" t="n"/>
      <c r="C317" s="35" t="n"/>
      <c r="D317" s="35" t="n"/>
      <c r="E317" s="36" t="n"/>
      <c r="F317" s="37">
        <f>IF($A317="","",TEXT($A317,"yyyy-mm"))</f>
        <v/>
      </c>
      <c r="G317" s="38" t="n"/>
      <c r="H317" s="37" t="n"/>
    </row>
    <row r="318">
      <c r="A318" s="34" t="n"/>
      <c r="B318" s="35" t="n"/>
      <c r="C318" s="35" t="n"/>
      <c r="D318" s="35" t="n"/>
      <c r="E318" s="36" t="n"/>
      <c r="F318" s="37">
        <f>IF($A318="","",TEXT($A318,"yyyy-mm"))</f>
        <v/>
      </c>
      <c r="G318" s="38" t="n"/>
      <c r="H318" s="37" t="n"/>
    </row>
    <row r="319">
      <c r="A319" s="34" t="n"/>
      <c r="B319" s="35" t="n"/>
      <c r="C319" s="35" t="n"/>
      <c r="D319" s="35" t="n"/>
      <c r="E319" s="36" t="n"/>
      <c r="F319" s="37">
        <f>IF($A319="","",TEXT($A319,"yyyy-mm"))</f>
        <v/>
      </c>
      <c r="G319" s="38" t="n"/>
      <c r="H319" s="37" t="n"/>
    </row>
    <row r="320">
      <c r="A320" s="34" t="n"/>
      <c r="B320" s="35" t="n"/>
      <c r="C320" s="35" t="n"/>
      <c r="D320" s="35" t="n"/>
      <c r="E320" s="36" t="n"/>
      <c r="F320" s="37">
        <f>IF($A320="","",TEXT($A320,"yyyy-mm"))</f>
        <v/>
      </c>
      <c r="G320" s="38" t="n"/>
      <c r="H320" s="37" t="n"/>
    </row>
    <row r="321">
      <c r="A321" s="34" t="n"/>
      <c r="B321" s="35" t="n"/>
      <c r="C321" s="35" t="n"/>
      <c r="D321" s="35" t="n"/>
      <c r="E321" s="36" t="n"/>
      <c r="F321" s="37">
        <f>IF($A321="","",TEXT($A321,"yyyy-mm"))</f>
        <v/>
      </c>
      <c r="G321" s="38" t="n"/>
      <c r="H321" s="37" t="n"/>
    </row>
    <row r="322">
      <c r="A322" s="34" t="n"/>
      <c r="B322" s="35" t="n"/>
      <c r="C322" s="35" t="n"/>
      <c r="D322" s="35" t="n"/>
      <c r="E322" s="36" t="n"/>
      <c r="F322" s="37">
        <f>IF($A322="","",TEXT($A322,"yyyy-mm"))</f>
        <v/>
      </c>
      <c r="G322" s="38" t="n"/>
      <c r="H322" s="37" t="n"/>
    </row>
    <row r="323">
      <c r="A323" s="34" t="n"/>
      <c r="B323" s="35" t="n"/>
      <c r="C323" s="35" t="n"/>
      <c r="D323" s="35" t="n"/>
      <c r="E323" s="36" t="n"/>
      <c r="F323" s="37">
        <f>IF($A323="","",TEXT($A323,"yyyy-mm"))</f>
        <v/>
      </c>
      <c r="G323" s="38" t="n"/>
      <c r="H323" s="37" t="n"/>
    </row>
    <row r="324">
      <c r="A324" s="34" t="n"/>
      <c r="B324" s="35" t="n"/>
      <c r="C324" s="35" t="n"/>
      <c r="D324" s="35" t="n"/>
      <c r="E324" s="36" t="n"/>
      <c r="F324" s="37">
        <f>IF($A324="","",TEXT($A324,"yyyy-mm"))</f>
        <v/>
      </c>
      <c r="G324" s="38" t="n"/>
      <c r="H324" s="37" t="n"/>
    </row>
    <row r="325">
      <c r="A325" s="34" t="n"/>
      <c r="B325" s="35" t="n"/>
      <c r="C325" s="35" t="n"/>
      <c r="D325" s="35" t="n"/>
      <c r="E325" s="36" t="n"/>
      <c r="F325" s="37">
        <f>IF($A325="","",TEXT($A325,"yyyy-mm"))</f>
        <v/>
      </c>
      <c r="G325" s="38" t="n"/>
      <c r="H325" s="37" t="n"/>
    </row>
    <row r="326">
      <c r="A326" s="34" t="n"/>
      <c r="B326" s="35" t="n"/>
      <c r="C326" s="35" t="n"/>
      <c r="D326" s="35" t="n"/>
      <c r="E326" s="36" t="n"/>
      <c r="F326" s="37">
        <f>IF($A326="","",TEXT($A326,"yyyy-mm"))</f>
        <v/>
      </c>
      <c r="G326" s="38" t="n"/>
      <c r="H326" s="37" t="n"/>
    </row>
    <row r="327">
      <c r="A327" s="34" t="n"/>
      <c r="B327" s="35" t="n"/>
      <c r="C327" s="35" t="n"/>
      <c r="D327" s="35" t="n"/>
      <c r="E327" s="36" t="n"/>
      <c r="F327" s="37">
        <f>IF($A327="","",TEXT($A327,"yyyy-mm"))</f>
        <v/>
      </c>
      <c r="G327" s="38" t="n"/>
      <c r="H327" s="37" t="n"/>
    </row>
    <row r="328">
      <c r="A328" s="34" t="n"/>
      <c r="B328" s="35" t="n"/>
      <c r="C328" s="35" t="n"/>
      <c r="D328" s="35" t="n"/>
      <c r="E328" s="36" t="n"/>
      <c r="F328" s="37">
        <f>IF($A328="","",TEXT($A328,"yyyy-mm"))</f>
        <v/>
      </c>
      <c r="G328" s="38" t="n"/>
      <c r="H328" s="37" t="n"/>
    </row>
    <row r="329">
      <c r="A329" s="34" t="n"/>
      <c r="B329" s="35" t="n"/>
      <c r="C329" s="35" t="n"/>
      <c r="D329" s="35" t="n"/>
      <c r="E329" s="36" t="n"/>
      <c r="F329" s="37">
        <f>IF($A329="","",TEXT($A329,"yyyy-mm"))</f>
        <v/>
      </c>
      <c r="G329" s="38" t="n"/>
      <c r="H329" s="37" t="n"/>
    </row>
    <row r="330">
      <c r="A330" s="34" t="n"/>
      <c r="B330" s="35" t="n"/>
      <c r="C330" s="35" t="n"/>
      <c r="D330" s="35" t="n"/>
      <c r="E330" s="36" t="n"/>
      <c r="F330" s="37">
        <f>IF($A330="","",TEXT($A330,"yyyy-mm"))</f>
        <v/>
      </c>
      <c r="G330" s="38" t="n"/>
      <c r="H330" s="37" t="n"/>
    </row>
    <row r="331">
      <c r="A331" s="34" t="n"/>
      <c r="B331" s="35" t="n"/>
      <c r="C331" s="35" t="n"/>
      <c r="D331" s="35" t="n"/>
      <c r="E331" s="36" t="n"/>
      <c r="F331" s="37">
        <f>IF($A331="","",TEXT($A331,"yyyy-mm"))</f>
        <v/>
      </c>
      <c r="G331" s="38" t="n"/>
      <c r="H331" s="37" t="n"/>
    </row>
    <row r="332">
      <c r="A332" s="34" t="n"/>
      <c r="B332" s="35" t="n"/>
      <c r="C332" s="35" t="n"/>
      <c r="D332" s="35" t="n"/>
      <c r="E332" s="36" t="n"/>
      <c r="F332" s="37">
        <f>IF($A332="","",TEXT($A332,"yyyy-mm"))</f>
        <v/>
      </c>
      <c r="G332" s="38" t="n"/>
      <c r="H332" s="37" t="n"/>
    </row>
    <row r="333">
      <c r="A333" s="34" t="n"/>
      <c r="B333" s="35" t="n"/>
      <c r="C333" s="35" t="n"/>
      <c r="D333" s="35" t="n"/>
      <c r="E333" s="36" t="n"/>
      <c r="F333" s="37">
        <f>IF($A333="","",TEXT($A333,"yyyy-mm"))</f>
        <v/>
      </c>
      <c r="G333" s="38" t="n"/>
      <c r="H333" s="37" t="n"/>
    </row>
    <row r="334">
      <c r="A334" s="34" t="n"/>
      <c r="B334" s="35" t="n"/>
      <c r="C334" s="35" t="n"/>
      <c r="D334" s="35" t="n"/>
      <c r="E334" s="36" t="n"/>
      <c r="F334" s="37">
        <f>IF($A334="","",TEXT($A334,"yyyy-mm"))</f>
        <v/>
      </c>
      <c r="G334" s="38" t="n"/>
      <c r="H334" s="37" t="n"/>
    </row>
    <row r="335">
      <c r="A335" s="34" t="n"/>
      <c r="B335" s="35" t="n"/>
      <c r="C335" s="35" t="n"/>
      <c r="D335" s="35" t="n"/>
      <c r="E335" s="36" t="n"/>
      <c r="F335" s="37">
        <f>IF($A335="","",TEXT($A335,"yyyy-mm"))</f>
        <v/>
      </c>
      <c r="G335" s="38" t="n"/>
      <c r="H335" s="37" t="n"/>
    </row>
    <row r="336">
      <c r="A336" s="34" t="n"/>
      <c r="B336" s="35" t="n"/>
      <c r="C336" s="35" t="n"/>
      <c r="D336" s="35" t="n"/>
      <c r="E336" s="36" t="n"/>
      <c r="F336" s="37">
        <f>IF($A336="","",TEXT($A336,"yyyy-mm"))</f>
        <v/>
      </c>
      <c r="G336" s="38" t="n"/>
      <c r="H336" s="37" t="n"/>
    </row>
    <row r="337">
      <c r="A337" s="34" t="n"/>
      <c r="B337" s="35" t="n"/>
      <c r="C337" s="35" t="n"/>
      <c r="D337" s="35" t="n"/>
      <c r="E337" s="36" t="n"/>
      <c r="F337" s="37">
        <f>IF($A337="","",TEXT($A337,"yyyy-mm"))</f>
        <v/>
      </c>
      <c r="G337" s="38" t="n"/>
      <c r="H337" s="37" t="n"/>
    </row>
    <row r="338">
      <c r="A338" s="34" t="n"/>
      <c r="B338" s="35" t="n"/>
      <c r="C338" s="35" t="n"/>
      <c r="D338" s="35" t="n"/>
      <c r="E338" s="36" t="n"/>
      <c r="F338" s="37">
        <f>IF($A338="","",TEXT($A338,"yyyy-mm"))</f>
        <v/>
      </c>
      <c r="G338" s="38" t="n"/>
      <c r="H338" s="37" t="n"/>
    </row>
    <row r="339">
      <c r="A339" s="34" t="n"/>
      <c r="B339" s="35" t="n"/>
      <c r="C339" s="35" t="n"/>
      <c r="D339" s="35" t="n"/>
      <c r="E339" s="36" t="n"/>
      <c r="F339" s="37">
        <f>IF($A339="","",TEXT($A339,"yyyy-mm"))</f>
        <v/>
      </c>
      <c r="G339" s="38" t="n"/>
      <c r="H339" s="37" t="n"/>
    </row>
    <row r="340">
      <c r="A340" s="34" t="n"/>
      <c r="B340" s="35" t="n"/>
      <c r="C340" s="35" t="n"/>
      <c r="D340" s="35" t="n"/>
      <c r="E340" s="36" t="n"/>
      <c r="F340" s="37">
        <f>IF($A340="","",TEXT($A340,"yyyy-mm"))</f>
        <v/>
      </c>
      <c r="G340" s="38" t="n"/>
      <c r="H340" s="37" t="n"/>
    </row>
    <row r="341">
      <c r="A341" s="34" t="n"/>
      <c r="B341" s="35" t="n"/>
      <c r="C341" s="35" t="n"/>
      <c r="D341" s="35" t="n"/>
      <c r="E341" s="36" t="n"/>
      <c r="F341" s="37">
        <f>IF($A341="","",TEXT($A341,"yyyy-mm"))</f>
        <v/>
      </c>
      <c r="G341" s="38" t="n"/>
      <c r="H341" s="37" t="n"/>
    </row>
    <row r="342">
      <c r="A342" s="34" t="n"/>
      <c r="B342" s="35" t="n"/>
      <c r="C342" s="35" t="n"/>
      <c r="D342" s="35" t="n"/>
      <c r="E342" s="36" t="n"/>
      <c r="F342" s="37">
        <f>IF($A342="","",TEXT($A342,"yyyy-mm"))</f>
        <v/>
      </c>
      <c r="G342" s="38" t="n"/>
      <c r="H342" s="37" t="n"/>
    </row>
    <row r="343">
      <c r="A343" s="34" t="n"/>
      <c r="B343" s="35" t="n"/>
      <c r="C343" s="35" t="n"/>
      <c r="D343" s="35" t="n"/>
      <c r="E343" s="36" t="n"/>
      <c r="F343" s="37">
        <f>IF($A343="","",TEXT($A343,"yyyy-mm"))</f>
        <v/>
      </c>
      <c r="G343" s="38" t="n"/>
      <c r="H343" s="37" t="n"/>
    </row>
    <row r="344">
      <c r="A344" s="34" t="n"/>
      <c r="B344" s="35" t="n"/>
      <c r="C344" s="35" t="n"/>
      <c r="D344" s="35" t="n"/>
      <c r="E344" s="36" t="n"/>
      <c r="F344" s="37">
        <f>IF($A344="","",TEXT($A344,"yyyy-mm"))</f>
        <v/>
      </c>
      <c r="G344" s="38" t="n"/>
      <c r="H344" s="37" t="n"/>
    </row>
    <row r="345">
      <c r="A345" s="34" t="n"/>
      <c r="B345" s="35" t="n"/>
      <c r="C345" s="35" t="n"/>
      <c r="D345" s="35" t="n"/>
      <c r="E345" s="36" t="n"/>
      <c r="F345" s="37">
        <f>IF($A345="","",TEXT($A345,"yyyy-mm"))</f>
        <v/>
      </c>
      <c r="G345" s="38" t="n"/>
      <c r="H345" s="37" t="n"/>
    </row>
    <row r="346">
      <c r="A346" s="34" t="n"/>
      <c r="B346" s="35" t="n"/>
      <c r="C346" s="35" t="n"/>
      <c r="D346" s="35" t="n"/>
      <c r="E346" s="36" t="n"/>
      <c r="F346" s="37">
        <f>IF($A346="","",TEXT($A346,"yyyy-mm"))</f>
        <v/>
      </c>
      <c r="G346" s="38" t="n"/>
      <c r="H346" s="37" t="n"/>
    </row>
    <row r="347">
      <c r="A347" s="34" t="n"/>
      <c r="B347" s="35" t="n"/>
      <c r="C347" s="35" t="n"/>
      <c r="D347" s="35" t="n"/>
      <c r="E347" s="36" t="n"/>
      <c r="F347" s="37">
        <f>IF($A347="","",TEXT($A347,"yyyy-mm"))</f>
        <v/>
      </c>
      <c r="G347" s="38" t="n"/>
      <c r="H347" s="37" t="n"/>
    </row>
    <row r="348">
      <c r="A348" s="34" t="n"/>
      <c r="B348" s="35" t="n"/>
      <c r="C348" s="35" t="n"/>
      <c r="D348" s="35" t="n"/>
      <c r="E348" s="36" t="n"/>
      <c r="F348" s="37">
        <f>IF($A348="","",TEXT($A348,"yyyy-mm"))</f>
        <v/>
      </c>
      <c r="G348" s="38" t="n"/>
      <c r="H348" s="37" t="n"/>
    </row>
    <row r="349">
      <c r="A349" s="34" t="n"/>
      <c r="B349" s="35" t="n"/>
      <c r="C349" s="35" t="n"/>
      <c r="D349" s="35" t="n"/>
      <c r="E349" s="36" t="n"/>
      <c r="F349" s="37">
        <f>IF($A349="","",TEXT($A349,"yyyy-mm"))</f>
        <v/>
      </c>
      <c r="G349" s="38" t="n"/>
      <c r="H349" s="37" t="n"/>
    </row>
    <row r="350">
      <c r="A350" s="34" t="n"/>
      <c r="B350" s="35" t="n"/>
      <c r="C350" s="35" t="n"/>
      <c r="D350" s="35" t="n"/>
      <c r="E350" s="36" t="n"/>
      <c r="F350" s="37">
        <f>IF($A350="","",TEXT($A350,"yyyy-mm"))</f>
        <v/>
      </c>
      <c r="G350" s="38" t="n"/>
      <c r="H350" s="37" t="n"/>
    </row>
    <row r="351">
      <c r="A351" s="34" t="n"/>
      <c r="B351" s="35" t="n"/>
      <c r="C351" s="35" t="n"/>
      <c r="D351" s="35" t="n"/>
      <c r="E351" s="36" t="n"/>
      <c r="F351" s="37">
        <f>IF($A351="","",TEXT($A351,"yyyy-mm"))</f>
        <v/>
      </c>
      <c r="G351" s="38" t="n"/>
      <c r="H351" s="37" t="n"/>
    </row>
    <row r="352">
      <c r="A352" s="34" t="n"/>
      <c r="B352" s="35" t="n"/>
      <c r="C352" s="35" t="n"/>
      <c r="D352" s="35" t="n"/>
      <c r="E352" s="36" t="n"/>
      <c r="F352" s="37">
        <f>IF($A352="","",TEXT($A352,"yyyy-mm"))</f>
        <v/>
      </c>
      <c r="G352" s="38" t="n"/>
      <c r="H352" s="37" t="n"/>
    </row>
    <row r="353">
      <c r="A353" s="34" t="n"/>
      <c r="B353" s="35" t="n"/>
      <c r="C353" s="35" t="n"/>
      <c r="D353" s="35" t="n"/>
      <c r="E353" s="36" t="n"/>
      <c r="F353" s="37">
        <f>IF($A353="","",TEXT($A353,"yyyy-mm"))</f>
        <v/>
      </c>
      <c r="G353" s="38" t="n"/>
      <c r="H353" s="37" t="n"/>
    </row>
    <row r="354">
      <c r="A354" s="34" t="n"/>
      <c r="B354" s="35" t="n"/>
      <c r="C354" s="35" t="n"/>
      <c r="D354" s="35" t="n"/>
      <c r="E354" s="36" t="n"/>
      <c r="F354" s="37">
        <f>IF($A354="","",TEXT($A354,"yyyy-mm"))</f>
        <v/>
      </c>
      <c r="G354" s="38" t="n"/>
      <c r="H354" s="37" t="n"/>
    </row>
    <row r="355">
      <c r="A355" s="34" t="n"/>
      <c r="B355" s="35" t="n"/>
      <c r="C355" s="35" t="n"/>
      <c r="D355" s="35" t="n"/>
      <c r="E355" s="36" t="n"/>
      <c r="F355" s="37">
        <f>IF($A355="","",TEXT($A355,"yyyy-mm"))</f>
        <v/>
      </c>
      <c r="G355" s="38" t="n"/>
      <c r="H355" s="37" t="n"/>
    </row>
    <row r="356">
      <c r="A356" s="34" t="n"/>
      <c r="B356" s="35" t="n"/>
      <c r="C356" s="35" t="n"/>
      <c r="D356" s="35" t="n"/>
      <c r="E356" s="36" t="n"/>
      <c r="F356" s="37">
        <f>IF($A356="","",TEXT($A356,"yyyy-mm"))</f>
        <v/>
      </c>
      <c r="G356" s="38" t="n"/>
      <c r="H356" s="37" t="n"/>
    </row>
    <row r="357">
      <c r="A357" s="34" t="n"/>
      <c r="B357" s="35" t="n"/>
      <c r="C357" s="35" t="n"/>
      <c r="D357" s="35" t="n"/>
      <c r="E357" s="36" t="n"/>
      <c r="F357" s="37">
        <f>IF($A357="","",TEXT($A357,"yyyy-mm"))</f>
        <v/>
      </c>
      <c r="G357" s="38" t="n"/>
      <c r="H357" s="37" t="n"/>
    </row>
    <row r="358">
      <c r="A358" s="34" t="n"/>
      <c r="B358" s="35" t="n"/>
      <c r="C358" s="35" t="n"/>
      <c r="D358" s="35" t="n"/>
      <c r="E358" s="36" t="n"/>
      <c r="F358" s="37">
        <f>IF($A358="","",TEXT($A358,"yyyy-mm"))</f>
        <v/>
      </c>
      <c r="G358" s="38" t="n"/>
      <c r="H358" s="37" t="n"/>
    </row>
    <row r="359">
      <c r="A359" s="34" t="n"/>
      <c r="B359" s="35" t="n"/>
      <c r="C359" s="35" t="n"/>
      <c r="D359" s="35" t="n"/>
      <c r="E359" s="36" t="n"/>
      <c r="F359" s="37">
        <f>IF($A359="","",TEXT($A359,"yyyy-mm"))</f>
        <v/>
      </c>
      <c r="G359" s="38" t="n"/>
      <c r="H359" s="37" t="n"/>
    </row>
    <row r="360">
      <c r="A360" s="34" t="n"/>
      <c r="B360" s="35" t="n"/>
      <c r="C360" s="35" t="n"/>
      <c r="D360" s="35" t="n"/>
      <c r="E360" s="36" t="n"/>
      <c r="F360" s="37">
        <f>IF($A360="","",TEXT($A360,"yyyy-mm"))</f>
        <v/>
      </c>
      <c r="G360" s="38" t="n"/>
      <c r="H360" s="37" t="n"/>
    </row>
    <row r="361">
      <c r="A361" s="34" t="n"/>
      <c r="B361" s="35" t="n"/>
      <c r="C361" s="35" t="n"/>
      <c r="D361" s="35" t="n"/>
      <c r="E361" s="36" t="n"/>
      <c r="F361" s="37">
        <f>IF($A361="","",TEXT($A361,"yyyy-mm"))</f>
        <v/>
      </c>
      <c r="G361" s="38" t="n"/>
      <c r="H361" s="37" t="n"/>
    </row>
    <row r="362">
      <c r="A362" s="34" t="n"/>
      <c r="B362" s="35" t="n"/>
      <c r="C362" s="35" t="n"/>
      <c r="D362" s="35" t="n"/>
      <c r="E362" s="36" t="n"/>
      <c r="F362" s="37">
        <f>IF($A362="","",TEXT($A362,"yyyy-mm"))</f>
        <v/>
      </c>
      <c r="G362" s="38" t="n"/>
      <c r="H362" s="37" t="n"/>
    </row>
    <row r="363">
      <c r="A363" s="34" t="n"/>
      <c r="B363" s="35" t="n"/>
      <c r="C363" s="35" t="n"/>
      <c r="D363" s="35" t="n"/>
      <c r="E363" s="36" t="n"/>
      <c r="F363" s="37">
        <f>IF($A363="","",TEXT($A363,"yyyy-mm"))</f>
        <v/>
      </c>
      <c r="G363" s="38" t="n"/>
      <c r="H363" s="37" t="n"/>
    </row>
    <row r="364">
      <c r="A364" s="34" t="n"/>
      <c r="B364" s="35" t="n"/>
      <c r="C364" s="35" t="n"/>
      <c r="D364" s="35" t="n"/>
      <c r="E364" s="36" t="n"/>
      <c r="F364" s="37">
        <f>IF($A364="","",TEXT($A364,"yyyy-mm"))</f>
        <v/>
      </c>
      <c r="G364" s="38" t="n"/>
      <c r="H364" s="37" t="n"/>
    </row>
    <row r="365">
      <c r="A365" s="34" t="n"/>
      <c r="B365" s="35" t="n"/>
      <c r="C365" s="35" t="n"/>
      <c r="D365" s="35" t="n"/>
      <c r="E365" s="36" t="n"/>
      <c r="F365" s="37">
        <f>IF($A365="","",TEXT($A365,"yyyy-mm"))</f>
        <v/>
      </c>
      <c r="G365" s="38" t="n"/>
      <c r="H365" s="37" t="n"/>
    </row>
    <row r="366">
      <c r="A366" s="34" t="n"/>
      <c r="B366" s="35" t="n"/>
      <c r="C366" s="35" t="n"/>
      <c r="D366" s="35" t="n"/>
      <c r="E366" s="36" t="n"/>
      <c r="F366" s="37">
        <f>IF($A366="","",TEXT($A366,"yyyy-mm"))</f>
        <v/>
      </c>
      <c r="G366" s="38" t="n"/>
      <c r="H366" s="37" t="n"/>
    </row>
    <row r="367">
      <c r="A367" s="34" t="n"/>
      <c r="B367" s="35" t="n"/>
      <c r="C367" s="35" t="n"/>
      <c r="D367" s="35" t="n"/>
      <c r="E367" s="36" t="n"/>
      <c r="F367" s="37">
        <f>IF($A367="","",TEXT($A367,"yyyy-mm"))</f>
        <v/>
      </c>
      <c r="G367" s="38" t="n"/>
      <c r="H367" s="37" t="n"/>
    </row>
    <row r="368">
      <c r="A368" s="34" t="n"/>
      <c r="B368" s="35" t="n"/>
      <c r="C368" s="35" t="n"/>
      <c r="D368" s="35" t="n"/>
      <c r="E368" s="36" t="n"/>
      <c r="F368" s="37">
        <f>IF($A368="","",TEXT($A368,"yyyy-mm"))</f>
        <v/>
      </c>
      <c r="G368" s="38" t="n"/>
      <c r="H368" s="37" t="n"/>
    </row>
    <row r="369">
      <c r="A369" s="34" t="n"/>
      <c r="B369" s="35" t="n"/>
      <c r="C369" s="35" t="n"/>
      <c r="D369" s="35" t="n"/>
      <c r="E369" s="36" t="n"/>
      <c r="F369" s="37">
        <f>IF($A369="","",TEXT($A369,"yyyy-mm"))</f>
        <v/>
      </c>
      <c r="G369" s="38" t="n"/>
      <c r="H369" s="37" t="n"/>
    </row>
    <row r="370">
      <c r="A370" s="34" t="n"/>
      <c r="B370" s="35" t="n"/>
      <c r="C370" s="35" t="n"/>
      <c r="D370" s="35" t="n"/>
      <c r="E370" s="36" t="n"/>
      <c r="F370" s="37">
        <f>IF($A370="","",TEXT($A370,"yyyy-mm"))</f>
        <v/>
      </c>
      <c r="G370" s="38" t="n"/>
      <c r="H370" s="37" t="n"/>
    </row>
    <row r="371">
      <c r="A371" s="34" t="n"/>
      <c r="B371" s="35" t="n"/>
      <c r="C371" s="35" t="n"/>
      <c r="D371" s="35" t="n"/>
      <c r="E371" s="36" t="n"/>
      <c r="F371" s="37">
        <f>IF($A371="","",TEXT($A371,"yyyy-mm"))</f>
        <v/>
      </c>
      <c r="G371" s="38" t="n"/>
      <c r="H371" s="37" t="n"/>
    </row>
    <row r="372">
      <c r="A372" s="34" t="n"/>
      <c r="B372" s="35" t="n"/>
      <c r="C372" s="35" t="n"/>
      <c r="D372" s="35" t="n"/>
      <c r="E372" s="36" t="n"/>
      <c r="F372" s="37">
        <f>IF($A372="","",TEXT($A372,"yyyy-mm"))</f>
        <v/>
      </c>
      <c r="G372" s="38" t="n"/>
      <c r="H372" s="37" t="n"/>
    </row>
    <row r="373">
      <c r="A373" s="34" t="n"/>
      <c r="B373" s="35" t="n"/>
      <c r="C373" s="35" t="n"/>
      <c r="D373" s="35" t="n"/>
      <c r="E373" s="36" t="n"/>
      <c r="F373" s="37">
        <f>IF($A373="","",TEXT($A373,"yyyy-mm"))</f>
        <v/>
      </c>
      <c r="G373" s="38" t="n"/>
      <c r="H373" s="37" t="n"/>
    </row>
    <row r="374">
      <c r="A374" s="34" t="n"/>
      <c r="B374" s="35" t="n"/>
      <c r="C374" s="35" t="n"/>
      <c r="D374" s="35" t="n"/>
      <c r="E374" s="36" t="n"/>
      <c r="F374" s="37">
        <f>IF($A374="","",TEXT($A374,"yyyy-mm"))</f>
        <v/>
      </c>
      <c r="G374" s="38" t="n"/>
      <c r="H374" s="37" t="n"/>
    </row>
    <row r="375">
      <c r="A375" s="34" t="n"/>
      <c r="B375" s="35" t="n"/>
      <c r="C375" s="35" t="n"/>
      <c r="D375" s="35" t="n"/>
      <c r="E375" s="36" t="n"/>
      <c r="F375" s="37">
        <f>IF($A375="","",TEXT($A375,"yyyy-mm"))</f>
        <v/>
      </c>
      <c r="G375" s="38" t="n"/>
      <c r="H375" s="37" t="n"/>
    </row>
    <row r="376">
      <c r="A376" s="34" t="n"/>
      <c r="B376" s="35" t="n"/>
      <c r="C376" s="35" t="n"/>
      <c r="D376" s="35" t="n"/>
      <c r="E376" s="36" t="n"/>
      <c r="F376" s="37">
        <f>IF($A376="","",TEXT($A376,"yyyy-mm"))</f>
        <v/>
      </c>
      <c r="G376" s="38" t="n"/>
      <c r="H376" s="37" t="n"/>
    </row>
    <row r="377">
      <c r="A377" s="34" t="n"/>
      <c r="B377" s="35" t="n"/>
      <c r="C377" s="35" t="n"/>
      <c r="D377" s="35" t="n"/>
      <c r="E377" s="36" t="n"/>
      <c r="F377" s="37">
        <f>IF($A377="","",TEXT($A377,"yyyy-mm"))</f>
        <v/>
      </c>
      <c r="G377" s="38" t="n"/>
      <c r="H377" s="37" t="n"/>
    </row>
    <row r="378">
      <c r="A378" s="34" t="n"/>
      <c r="B378" s="35" t="n"/>
      <c r="C378" s="35" t="n"/>
      <c r="D378" s="35" t="n"/>
      <c r="E378" s="36" t="n"/>
      <c r="F378" s="37">
        <f>IF($A378="","",TEXT($A378,"yyyy-mm"))</f>
        <v/>
      </c>
      <c r="G378" s="38" t="n"/>
      <c r="H378" s="37" t="n"/>
    </row>
    <row r="379">
      <c r="A379" s="34" t="n"/>
      <c r="B379" s="35" t="n"/>
      <c r="C379" s="35" t="n"/>
      <c r="D379" s="35" t="n"/>
      <c r="E379" s="36" t="n"/>
      <c r="F379" s="37">
        <f>IF($A379="","",TEXT($A379,"yyyy-mm"))</f>
        <v/>
      </c>
      <c r="G379" s="38" t="n"/>
      <c r="H379" s="37" t="n"/>
    </row>
    <row r="380">
      <c r="A380" s="34" t="n"/>
      <c r="B380" s="35" t="n"/>
      <c r="C380" s="35" t="n"/>
      <c r="D380" s="35" t="n"/>
      <c r="E380" s="36" t="n"/>
      <c r="F380" s="37">
        <f>IF($A380="","",TEXT($A380,"yyyy-mm"))</f>
        <v/>
      </c>
      <c r="G380" s="38" t="n"/>
      <c r="H380" s="37" t="n"/>
    </row>
    <row r="381">
      <c r="A381" s="34" t="n"/>
      <c r="B381" s="35" t="n"/>
      <c r="C381" s="35" t="n"/>
      <c r="D381" s="35" t="n"/>
      <c r="E381" s="36" t="n"/>
      <c r="F381" s="37">
        <f>IF($A381="","",TEXT($A381,"yyyy-mm"))</f>
        <v/>
      </c>
      <c r="G381" s="38" t="n"/>
      <c r="H381" s="37" t="n"/>
    </row>
    <row r="382">
      <c r="A382" s="34" t="n"/>
      <c r="B382" s="35" t="n"/>
      <c r="C382" s="35" t="n"/>
      <c r="D382" s="35" t="n"/>
      <c r="E382" s="36" t="n"/>
      <c r="F382" s="37">
        <f>IF($A382="","",TEXT($A382,"yyyy-mm"))</f>
        <v/>
      </c>
      <c r="G382" s="38" t="n"/>
      <c r="H382" s="37" t="n"/>
    </row>
    <row r="383">
      <c r="A383" s="34" t="n"/>
      <c r="B383" s="35" t="n"/>
      <c r="C383" s="35" t="n"/>
      <c r="D383" s="35" t="n"/>
      <c r="E383" s="36" t="n"/>
      <c r="F383" s="37">
        <f>IF($A383="","",TEXT($A383,"yyyy-mm"))</f>
        <v/>
      </c>
      <c r="G383" s="38" t="n"/>
      <c r="H383" s="37" t="n"/>
    </row>
    <row r="384">
      <c r="A384" s="34" t="n"/>
      <c r="B384" s="35" t="n"/>
      <c r="C384" s="35" t="n"/>
      <c r="D384" s="35" t="n"/>
      <c r="E384" s="36" t="n"/>
      <c r="F384" s="37">
        <f>IF($A384="","",TEXT($A384,"yyyy-mm"))</f>
        <v/>
      </c>
      <c r="G384" s="38" t="n"/>
      <c r="H384" s="37" t="n"/>
    </row>
    <row r="385">
      <c r="A385" s="34" t="n"/>
      <c r="B385" s="35" t="n"/>
      <c r="C385" s="35" t="n"/>
      <c r="D385" s="35" t="n"/>
      <c r="E385" s="36" t="n"/>
      <c r="F385" s="37">
        <f>IF($A385="","",TEXT($A385,"yyyy-mm"))</f>
        <v/>
      </c>
      <c r="G385" s="38" t="n"/>
      <c r="H385" s="37" t="n"/>
    </row>
    <row r="386">
      <c r="A386" s="34" t="n"/>
      <c r="B386" s="35" t="n"/>
      <c r="C386" s="35" t="n"/>
      <c r="D386" s="35" t="n"/>
      <c r="E386" s="36" t="n"/>
      <c r="F386" s="37">
        <f>IF($A386="","",TEXT($A386,"yyyy-mm"))</f>
        <v/>
      </c>
      <c r="G386" s="38" t="n"/>
      <c r="H386" s="37" t="n"/>
    </row>
    <row r="387">
      <c r="A387" s="34" t="n"/>
      <c r="B387" s="35" t="n"/>
      <c r="C387" s="35" t="n"/>
      <c r="D387" s="35" t="n"/>
      <c r="E387" s="36" t="n"/>
      <c r="F387" s="37">
        <f>IF($A387="","",TEXT($A387,"yyyy-mm"))</f>
        <v/>
      </c>
      <c r="G387" s="38" t="n"/>
      <c r="H387" s="37" t="n"/>
    </row>
    <row r="388">
      <c r="A388" s="34" t="n"/>
      <c r="B388" s="35" t="n"/>
      <c r="C388" s="35" t="n"/>
      <c r="D388" s="35" t="n"/>
      <c r="E388" s="36" t="n"/>
      <c r="F388" s="37">
        <f>IF($A388="","",TEXT($A388,"yyyy-mm"))</f>
        <v/>
      </c>
      <c r="G388" s="38" t="n"/>
      <c r="H388" s="37" t="n"/>
    </row>
    <row r="389">
      <c r="A389" s="34" t="n"/>
      <c r="B389" s="35" t="n"/>
      <c r="C389" s="35" t="n"/>
      <c r="D389" s="35" t="n"/>
      <c r="E389" s="36" t="n"/>
      <c r="F389" s="37">
        <f>IF($A389="","",TEXT($A389,"yyyy-mm"))</f>
        <v/>
      </c>
      <c r="G389" s="38" t="n"/>
      <c r="H389" s="37" t="n"/>
    </row>
    <row r="390">
      <c r="A390" s="34" t="n"/>
      <c r="B390" s="35" t="n"/>
      <c r="C390" s="35" t="n"/>
      <c r="D390" s="35" t="n"/>
      <c r="E390" s="36" t="n"/>
      <c r="F390" s="37">
        <f>IF($A390="","",TEXT($A390,"yyyy-mm"))</f>
        <v/>
      </c>
      <c r="G390" s="38" t="n"/>
      <c r="H390" s="37" t="n"/>
    </row>
    <row r="391">
      <c r="A391" s="34" t="n"/>
      <c r="B391" s="35" t="n"/>
      <c r="C391" s="35" t="n"/>
      <c r="D391" s="35" t="n"/>
      <c r="E391" s="36" t="n"/>
      <c r="F391" s="37">
        <f>IF($A391="","",TEXT($A391,"yyyy-mm"))</f>
        <v/>
      </c>
      <c r="G391" s="38" t="n"/>
      <c r="H391" s="37" t="n"/>
    </row>
    <row r="392">
      <c r="A392" s="34" t="n"/>
      <c r="B392" s="35" t="n"/>
      <c r="C392" s="35" t="n"/>
      <c r="D392" s="35" t="n"/>
      <c r="E392" s="36" t="n"/>
      <c r="F392" s="37">
        <f>IF($A392="","",TEXT($A392,"yyyy-mm"))</f>
        <v/>
      </c>
      <c r="G392" s="38" t="n"/>
      <c r="H392" s="37" t="n"/>
    </row>
    <row r="393">
      <c r="A393" s="34" t="n"/>
      <c r="B393" s="35" t="n"/>
      <c r="C393" s="35" t="n"/>
      <c r="D393" s="35" t="n"/>
      <c r="E393" s="36" t="n"/>
      <c r="F393" s="37">
        <f>IF($A393="","",TEXT($A393,"yyyy-mm"))</f>
        <v/>
      </c>
      <c r="G393" s="38" t="n"/>
      <c r="H393" s="37" t="n"/>
    </row>
    <row r="394">
      <c r="A394" s="34" t="n"/>
      <c r="B394" s="35" t="n"/>
      <c r="C394" s="35" t="n"/>
      <c r="D394" s="35" t="n"/>
      <c r="E394" s="36" t="n"/>
      <c r="F394" s="37">
        <f>IF($A394="","",TEXT($A394,"yyyy-mm"))</f>
        <v/>
      </c>
      <c r="G394" s="38" t="n"/>
      <c r="H394" s="37" t="n"/>
    </row>
    <row r="395">
      <c r="A395" s="34" t="n"/>
      <c r="B395" s="35" t="n"/>
      <c r="C395" s="35" t="n"/>
      <c r="D395" s="35" t="n"/>
      <c r="E395" s="36" t="n"/>
      <c r="F395" s="37">
        <f>IF($A395="","",TEXT($A395,"yyyy-mm"))</f>
        <v/>
      </c>
      <c r="G395" s="38" t="n"/>
      <c r="H395" s="37" t="n"/>
    </row>
    <row r="396">
      <c r="A396" s="34" t="n"/>
      <c r="B396" s="35" t="n"/>
      <c r="C396" s="35" t="n"/>
      <c r="D396" s="35" t="n"/>
      <c r="E396" s="36" t="n"/>
      <c r="F396" s="37">
        <f>IF($A396="","",TEXT($A396,"yyyy-mm"))</f>
        <v/>
      </c>
      <c r="G396" s="38" t="n"/>
      <c r="H396" s="37" t="n"/>
    </row>
    <row r="397">
      <c r="A397" s="34" t="n"/>
      <c r="B397" s="35" t="n"/>
      <c r="C397" s="35" t="n"/>
      <c r="D397" s="35" t="n"/>
      <c r="E397" s="36" t="n"/>
      <c r="F397" s="37">
        <f>IF($A397="","",TEXT($A397,"yyyy-mm"))</f>
        <v/>
      </c>
      <c r="G397" s="38" t="n"/>
      <c r="H397" s="37" t="n"/>
    </row>
    <row r="398">
      <c r="A398" s="34" t="n"/>
      <c r="B398" s="35" t="n"/>
      <c r="C398" s="35" t="n"/>
      <c r="D398" s="35" t="n"/>
      <c r="E398" s="36" t="n"/>
      <c r="F398" s="37">
        <f>IF($A398="","",TEXT($A398,"yyyy-mm"))</f>
        <v/>
      </c>
      <c r="G398" s="38" t="n"/>
      <c r="H398" s="37" t="n"/>
    </row>
    <row r="399">
      <c r="A399" s="34" t="n"/>
      <c r="B399" s="35" t="n"/>
      <c r="C399" s="35" t="n"/>
      <c r="D399" s="35" t="n"/>
      <c r="E399" s="36" t="n"/>
      <c r="F399" s="37">
        <f>IF($A399="","",TEXT($A399,"yyyy-mm"))</f>
        <v/>
      </c>
      <c r="G399" s="38" t="n"/>
      <c r="H399" s="37" t="n"/>
    </row>
    <row r="400">
      <c r="A400" s="34" t="n"/>
      <c r="B400" s="35" t="n"/>
      <c r="C400" s="35" t="n"/>
      <c r="D400" s="35" t="n"/>
      <c r="E400" s="36" t="n"/>
      <c r="F400" s="37">
        <f>IF($A400="","",TEXT($A400,"yyyy-mm"))</f>
        <v/>
      </c>
      <c r="G400" s="38" t="n"/>
      <c r="H400" s="37" t="n"/>
    </row>
    <row r="401">
      <c r="A401" s="34" t="n"/>
      <c r="B401" s="35" t="n"/>
      <c r="C401" s="35" t="n"/>
      <c r="D401" s="35" t="n"/>
      <c r="E401" s="36" t="n"/>
      <c r="F401" s="37">
        <f>IF($A401="","",TEXT($A401,"yyyy-mm"))</f>
        <v/>
      </c>
      <c r="G401" s="38" t="n"/>
      <c r="H401" s="37" t="n"/>
    </row>
    <row r="402">
      <c r="A402" s="34" t="n"/>
      <c r="B402" s="35" t="n"/>
      <c r="C402" s="35" t="n"/>
      <c r="D402" s="35" t="n"/>
      <c r="E402" s="36" t="n"/>
      <c r="F402" s="37">
        <f>IF($A402="","",TEXT($A402,"yyyy-mm"))</f>
        <v/>
      </c>
      <c r="G402" s="38" t="n"/>
      <c r="H402" s="37" t="n"/>
    </row>
    <row r="403">
      <c r="A403" s="34" t="n"/>
      <c r="B403" s="35" t="n"/>
      <c r="C403" s="35" t="n"/>
      <c r="D403" s="35" t="n"/>
      <c r="E403" s="36" t="n"/>
      <c r="F403" s="37">
        <f>IF($A403="","",TEXT($A403,"yyyy-mm"))</f>
        <v/>
      </c>
      <c r="G403" s="38" t="n"/>
      <c r="H403" s="37" t="n"/>
    </row>
    <row r="404">
      <c r="A404" s="34" t="n"/>
      <c r="B404" s="35" t="n"/>
      <c r="C404" s="35" t="n"/>
      <c r="D404" s="35" t="n"/>
      <c r="E404" s="36" t="n"/>
      <c r="F404" s="37">
        <f>IF($A404="","",TEXT($A404,"yyyy-mm"))</f>
        <v/>
      </c>
      <c r="G404" s="38" t="n"/>
      <c r="H404" s="37" t="n"/>
    </row>
    <row r="405">
      <c r="A405" s="34" t="n"/>
      <c r="B405" s="35" t="n"/>
      <c r="C405" s="35" t="n"/>
      <c r="D405" s="35" t="n"/>
      <c r="E405" s="36" t="n"/>
      <c r="F405" s="37">
        <f>IF($A405="","",TEXT($A405,"yyyy-mm"))</f>
        <v/>
      </c>
      <c r="G405" s="38" t="n"/>
      <c r="H405" s="37" t="n"/>
    </row>
    <row r="406">
      <c r="A406" s="34" t="n"/>
      <c r="B406" s="35" t="n"/>
      <c r="C406" s="35" t="n"/>
      <c r="D406" s="35" t="n"/>
      <c r="E406" s="36" t="n"/>
      <c r="F406" s="37">
        <f>IF($A406="","",TEXT($A406,"yyyy-mm"))</f>
        <v/>
      </c>
      <c r="G406" s="38" t="n"/>
      <c r="H406" s="37" t="n"/>
    </row>
    <row r="407">
      <c r="A407" s="34" t="n"/>
      <c r="B407" s="35" t="n"/>
      <c r="C407" s="35" t="n"/>
      <c r="D407" s="35" t="n"/>
      <c r="E407" s="36" t="n"/>
      <c r="F407" s="37">
        <f>IF($A407="","",TEXT($A407,"yyyy-mm"))</f>
        <v/>
      </c>
      <c r="G407" s="38" t="n"/>
      <c r="H407" s="37" t="n"/>
    </row>
    <row r="408">
      <c r="A408" s="34" t="n"/>
      <c r="B408" s="35" t="n"/>
      <c r="C408" s="35" t="n"/>
      <c r="D408" s="35" t="n"/>
      <c r="E408" s="36" t="n"/>
      <c r="F408" s="37">
        <f>IF($A408="","",TEXT($A408,"yyyy-mm"))</f>
        <v/>
      </c>
      <c r="G408" s="38" t="n"/>
      <c r="H408" s="37" t="n"/>
    </row>
    <row r="409">
      <c r="A409" s="34" t="n"/>
      <c r="B409" s="35" t="n"/>
      <c r="C409" s="35" t="n"/>
      <c r="D409" s="35" t="n"/>
      <c r="E409" s="36" t="n"/>
      <c r="F409" s="37">
        <f>IF($A409="","",TEXT($A409,"yyyy-mm"))</f>
        <v/>
      </c>
      <c r="G409" s="38" t="n"/>
      <c r="H409" s="37" t="n"/>
    </row>
    <row r="410">
      <c r="A410" s="34" t="n"/>
      <c r="B410" s="35" t="n"/>
      <c r="C410" s="35" t="n"/>
      <c r="D410" s="35" t="n"/>
      <c r="E410" s="36" t="n"/>
      <c r="F410" s="37">
        <f>IF($A410="","",TEXT($A410,"yyyy-mm"))</f>
        <v/>
      </c>
      <c r="G410" s="38" t="n"/>
      <c r="H410" s="37" t="n"/>
    </row>
    <row r="411">
      <c r="A411" s="34" t="n"/>
      <c r="B411" s="35" t="n"/>
      <c r="C411" s="35" t="n"/>
      <c r="D411" s="35" t="n"/>
      <c r="E411" s="36" t="n"/>
      <c r="F411" s="37">
        <f>IF($A411="","",TEXT($A411,"yyyy-mm"))</f>
        <v/>
      </c>
      <c r="G411" s="38" t="n"/>
      <c r="H411" s="37" t="n"/>
    </row>
    <row r="412">
      <c r="A412" s="34" t="n"/>
      <c r="B412" s="35" t="n"/>
      <c r="C412" s="35" t="n"/>
      <c r="D412" s="35" t="n"/>
      <c r="E412" s="36" t="n"/>
      <c r="F412" s="37">
        <f>IF($A412="","",TEXT($A412,"yyyy-mm"))</f>
        <v/>
      </c>
      <c r="G412" s="38" t="n"/>
      <c r="H412" s="37" t="n"/>
    </row>
    <row r="413">
      <c r="A413" s="34" t="n"/>
      <c r="B413" s="35" t="n"/>
      <c r="C413" s="35" t="n"/>
      <c r="D413" s="35" t="n"/>
      <c r="E413" s="36" t="n"/>
      <c r="F413" s="37">
        <f>IF($A413="","",TEXT($A413,"yyyy-mm"))</f>
        <v/>
      </c>
      <c r="G413" s="38" t="n"/>
      <c r="H413" s="37" t="n"/>
    </row>
    <row r="414">
      <c r="A414" s="34" t="n"/>
      <c r="B414" s="35" t="n"/>
      <c r="C414" s="35" t="n"/>
      <c r="D414" s="35" t="n"/>
      <c r="E414" s="36" t="n"/>
      <c r="F414" s="37">
        <f>IF($A414="","",TEXT($A414,"yyyy-mm"))</f>
        <v/>
      </c>
      <c r="G414" s="38" t="n"/>
      <c r="H414" s="37" t="n"/>
    </row>
    <row r="415">
      <c r="A415" s="34" t="n"/>
      <c r="B415" s="35" t="n"/>
      <c r="C415" s="35" t="n"/>
      <c r="D415" s="35" t="n"/>
      <c r="E415" s="36" t="n"/>
      <c r="F415" s="37">
        <f>IF($A415="","",TEXT($A415,"yyyy-mm"))</f>
        <v/>
      </c>
      <c r="G415" s="38" t="n"/>
      <c r="H415" s="37" t="n"/>
    </row>
    <row r="416">
      <c r="A416" s="34" t="n"/>
      <c r="B416" s="35" t="n"/>
      <c r="C416" s="35" t="n"/>
      <c r="D416" s="35" t="n"/>
      <c r="E416" s="36" t="n"/>
      <c r="F416" s="37">
        <f>IF($A416="","",TEXT($A416,"yyyy-mm"))</f>
        <v/>
      </c>
      <c r="G416" s="38" t="n"/>
      <c r="H416" s="37" t="n"/>
    </row>
    <row r="417">
      <c r="A417" s="34" t="n"/>
      <c r="B417" s="35" t="n"/>
      <c r="C417" s="35" t="n"/>
      <c r="D417" s="35" t="n"/>
      <c r="E417" s="36" t="n"/>
      <c r="F417" s="37">
        <f>IF($A417="","",TEXT($A417,"yyyy-mm"))</f>
        <v/>
      </c>
      <c r="G417" s="38" t="n"/>
      <c r="H417" s="37" t="n"/>
    </row>
    <row r="418">
      <c r="A418" s="34" t="n"/>
      <c r="B418" s="35" t="n"/>
      <c r="C418" s="35" t="n"/>
      <c r="D418" s="35" t="n"/>
      <c r="E418" s="36" t="n"/>
      <c r="F418" s="37">
        <f>IF($A418="","",TEXT($A418,"yyyy-mm"))</f>
        <v/>
      </c>
      <c r="G418" s="38" t="n"/>
      <c r="H418" s="37" t="n"/>
    </row>
    <row r="419">
      <c r="A419" s="34" t="n"/>
      <c r="B419" s="35" t="n"/>
      <c r="C419" s="35" t="n"/>
      <c r="D419" s="35" t="n"/>
      <c r="E419" s="36" t="n"/>
      <c r="F419" s="37">
        <f>IF($A419="","",TEXT($A419,"yyyy-mm"))</f>
        <v/>
      </c>
      <c r="G419" s="38" t="n"/>
      <c r="H419" s="37" t="n"/>
    </row>
    <row r="420">
      <c r="A420" s="34" t="n"/>
      <c r="B420" s="35" t="n"/>
      <c r="C420" s="35" t="n"/>
      <c r="D420" s="35" t="n"/>
      <c r="E420" s="36" t="n"/>
      <c r="F420" s="37">
        <f>IF($A420="","",TEXT($A420,"yyyy-mm"))</f>
        <v/>
      </c>
      <c r="G420" s="38" t="n"/>
      <c r="H420" s="37" t="n"/>
    </row>
    <row r="421">
      <c r="A421" s="34" t="n"/>
      <c r="B421" s="35" t="n"/>
      <c r="C421" s="35" t="n"/>
      <c r="D421" s="35" t="n"/>
      <c r="E421" s="36" t="n"/>
      <c r="F421" s="37">
        <f>IF($A421="","",TEXT($A421,"yyyy-mm"))</f>
        <v/>
      </c>
      <c r="G421" s="38" t="n"/>
      <c r="H421" s="37" t="n"/>
    </row>
    <row r="422">
      <c r="A422" s="34" t="n"/>
      <c r="B422" s="35" t="n"/>
      <c r="C422" s="35" t="n"/>
      <c r="D422" s="35" t="n"/>
      <c r="E422" s="36" t="n"/>
      <c r="F422" s="37">
        <f>IF($A422="","",TEXT($A422,"yyyy-mm"))</f>
        <v/>
      </c>
      <c r="G422" s="38" t="n"/>
      <c r="H422" s="37" t="n"/>
    </row>
    <row r="423">
      <c r="A423" s="34" t="n"/>
      <c r="B423" s="35" t="n"/>
      <c r="C423" s="35" t="n"/>
      <c r="D423" s="35" t="n"/>
      <c r="E423" s="36" t="n"/>
      <c r="F423" s="37">
        <f>IF($A423="","",TEXT($A423,"yyyy-mm"))</f>
        <v/>
      </c>
      <c r="G423" s="38" t="n"/>
      <c r="H423" s="37" t="n"/>
    </row>
    <row r="424">
      <c r="A424" s="34" t="n"/>
      <c r="B424" s="35" t="n"/>
      <c r="C424" s="35" t="n"/>
      <c r="D424" s="35" t="n"/>
      <c r="E424" s="36" t="n"/>
      <c r="F424" s="37">
        <f>IF($A424="","",TEXT($A424,"yyyy-mm"))</f>
        <v/>
      </c>
      <c r="G424" s="38" t="n"/>
      <c r="H424" s="37" t="n"/>
    </row>
    <row r="425">
      <c r="A425" s="34" t="n"/>
      <c r="B425" s="35" t="n"/>
      <c r="C425" s="35" t="n"/>
      <c r="D425" s="35" t="n"/>
      <c r="E425" s="36" t="n"/>
      <c r="F425" s="37">
        <f>IF($A425="","",TEXT($A425,"yyyy-mm"))</f>
        <v/>
      </c>
      <c r="G425" s="38" t="n"/>
      <c r="H425" s="37" t="n"/>
    </row>
    <row r="426">
      <c r="A426" s="34" t="n"/>
      <c r="B426" s="35" t="n"/>
      <c r="C426" s="35" t="n"/>
      <c r="D426" s="35" t="n"/>
      <c r="E426" s="36" t="n"/>
      <c r="F426" s="37">
        <f>IF($A426="","",TEXT($A426,"yyyy-mm"))</f>
        <v/>
      </c>
      <c r="G426" s="38" t="n"/>
      <c r="H426" s="37" t="n"/>
    </row>
    <row r="427">
      <c r="A427" s="34" t="n"/>
      <c r="B427" s="35" t="n"/>
      <c r="C427" s="35" t="n"/>
      <c r="D427" s="35" t="n"/>
      <c r="E427" s="36" t="n"/>
      <c r="F427" s="37">
        <f>IF($A427="","",TEXT($A427,"yyyy-mm"))</f>
        <v/>
      </c>
      <c r="G427" s="38" t="n"/>
      <c r="H427" s="37" t="n"/>
    </row>
    <row r="428">
      <c r="A428" s="34" t="n"/>
      <c r="B428" s="35" t="n"/>
      <c r="C428" s="35" t="n"/>
      <c r="D428" s="35" t="n"/>
      <c r="E428" s="36" t="n"/>
      <c r="F428" s="37">
        <f>IF($A428="","",TEXT($A428,"yyyy-mm"))</f>
        <v/>
      </c>
      <c r="G428" s="38" t="n"/>
      <c r="H428" s="37" t="n"/>
    </row>
    <row r="429">
      <c r="A429" s="34" t="n"/>
      <c r="B429" s="35" t="n"/>
      <c r="C429" s="35" t="n"/>
      <c r="D429" s="35" t="n"/>
      <c r="E429" s="36" t="n"/>
      <c r="F429" s="37">
        <f>IF($A429="","",TEXT($A429,"yyyy-mm"))</f>
        <v/>
      </c>
      <c r="G429" s="38" t="n"/>
      <c r="H429" s="37" t="n"/>
    </row>
    <row r="430">
      <c r="A430" s="34" t="n"/>
      <c r="B430" s="35" t="n"/>
      <c r="C430" s="35" t="n"/>
      <c r="D430" s="35" t="n"/>
      <c r="E430" s="36" t="n"/>
      <c r="F430" s="37">
        <f>IF($A430="","",TEXT($A430,"yyyy-mm"))</f>
        <v/>
      </c>
      <c r="G430" s="38" t="n"/>
      <c r="H430" s="37" t="n"/>
    </row>
    <row r="431">
      <c r="A431" s="34" t="n"/>
      <c r="B431" s="35" t="n"/>
      <c r="C431" s="35" t="n"/>
      <c r="D431" s="35" t="n"/>
      <c r="E431" s="36" t="n"/>
      <c r="F431" s="37">
        <f>IF($A431="","",TEXT($A431,"yyyy-mm"))</f>
        <v/>
      </c>
      <c r="G431" s="38" t="n"/>
      <c r="H431" s="37" t="n"/>
    </row>
    <row r="432">
      <c r="A432" s="34" t="n"/>
      <c r="B432" s="35" t="n"/>
      <c r="C432" s="35" t="n"/>
      <c r="D432" s="35" t="n"/>
      <c r="E432" s="36" t="n"/>
      <c r="F432" s="37">
        <f>IF($A432="","",TEXT($A432,"yyyy-mm"))</f>
        <v/>
      </c>
      <c r="G432" s="38" t="n"/>
      <c r="H432" s="37" t="n"/>
    </row>
    <row r="433">
      <c r="A433" s="34" t="n"/>
      <c r="B433" s="35" t="n"/>
      <c r="C433" s="35" t="n"/>
      <c r="D433" s="35" t="n"/>
      <c r="E433" s="36" t="n"/>
      <c r="F433" s="37">
        <f>IF($A433="","",TEXT($A433,"yyyy-mm"))</f>
        <v/>
      </c>
      <c r="G433" s="38" t="n"/>
      <c r="H433" s="37" t="n"/>
    </row>
    <row r="434">
      <c r="A434" s="34" t="n"/>
      <c r="B434" s="35" t="n"/>
      <c r="C434" s="35" t="n"/>
      <c r="D434" s="35" t="n"/>
      <c r="E434" s="36" t="n"/>
      <c r="F434" s="37">
        <f>IF($A434="","",TEXT($A434,"yyyy-mm"))</f>
        <v/>
      </c>
      <c r="G434" s="38" t="n"/>
      <c r="H434" s="37" t="n"/>
    </row>
    <row r="435">
      <c r="A435" s="34" t="n"/>
      <c r="B435" s="35" t="n"/>
      <c r="C435" s="35" t="n"/>
      <c r="D435" s="35" t="n"/>
      <c r="E435" s="36" t="n"/>
      <c r="F435" s="37">
        <f>IF($A435="","",TEXT($A435,"yyyy-mm"))</f>
        <v/>
      </c>
      <c r="G435" s="38" t="n"/>
      <c r="H435" s="37" t="n"/>
    </row>
    <row r="436">
      <c r="A436" s="34" t="n"/>
      <c r="B436" s="35" t="n"/>
      <c r="C436" s="35" t="n"/>
      <c r="D436" s="35" t="n"/>
      <c r="E436" s="36" t="n"/>
      <c r="F436" s="37">
        <f>IF($A436="","",TEXT($A436,"yyyy-mm"))</f>
        <v/>
      </c>
      <c r="G436" s="38" t="n"/>
      <c r="H436" s="37" t="n"/>
    </row>
    <row r="437">
      <c r="A437" s="34" t="n"/>
      <c r="B437" s="35" t="n"/>
      <c r="C437" s="35" t="n"/>
      <c r="D437" s="35" t="n"/>
      <c r="E437" s="36" t="n"/>
      <c r="F437" s="37">
        <f>IF($A437="","",TEXT($A437,"yyyy-mm"))</f>
        <v/>
      </c>
      <c r="G437" s="38" t="n"/>
      <c r="H437" s="37" t="n"/>
    </row>
    <row r="438">
      <c r="A438" s="34" t="n"/>
      <c r="B438" s="35" t="n"/>
      <c r="C438" s="35" t="n"/>
      <c r="D438" s="35" t="n"/>
      <c r="E438" s="36" t="n"/>
      <c r="F438" s="37">
        <f>IF($A438="","",TEXT($A438,"yyyy-mm"))</f>
        <v/>
      </c>
      <c r="G438" s="38" t="n"/>
      <c r="H438" s="37" t="n"/>
    </row>
    <row r="439">
      <c r="A439" s="34" t="n"/>
      <c r="B439" s="35" t="n"/>
      <c r="C439" s="35" t="n"/>
      <c r="D439" s="35" t="n"/>
      <c r="E439" s="36" t="n"/>
      <c r="F439" s="37">
        <f>IF($A439="","",TEXT($A439,"yyyy-mm"))</f>
        <v/>
      </c>
      <c r="G439" s="38" t="n"/>
      <c r="H439" s="37" t="n"/>
    </row>
    <row r="440">
      <c r="A440" s="34" t="n"/>
      <c r="B440" s="35" t="n"/>
      <c r="C440" s="35" t="n"/>
      <c r="D440" s="35" t="n"/>
      <c r="E440" s="36" t="n"/>
      <c r="F440" s="37">
        <f>IF($A440="","",TEXT($A440,"yyyy-mm"))</f>
        <v/>
      </c>
      <c r="G440" s="38" t="n"/>
      <c r="H440" s="37" t="n"/>
    </row>
    <row r="441">
      <c r="A441" s="34" t="n"/>
      <c r="B441" s="35" t="n"/>
      <c r="C441" s="35" t="n"/>
      <c r="D441" s="35" t="n"/>
      <c r="E441" s="36" t="n"/>
      <c r="F441" s="37">
        <f>IF($A441="","",TEXT($A441,"yyyy-mm"))</f>
        <v/>
      </c>
      <c r="G441" s="38" t="n"/>
      <c r="H441" s="37" t="n"/>
    </row>
    <row r="442">
      <c r="A442" s="34" t="n"/>
      <c r="B442" s="35" t="n"/>
      <c r="C442" s="35" t="n"/>
      <c r="D442" s="35" t="n"/>
      <c r="E442" s="36" t="n"/>
      <c r="F442" s="37">
        <f>IF($A442="","",TEXT($A442,"yyyy-mm"))</f>
        <v/>
      </c>
      <c r="G442" s="38" t="n"/>
      <c r="H442" s="37" t="n"/>
    </row>
    <row r="443">
      <c r="A443" s="34" t="n"/>
      <c r="B443" s="35" t="n"/>
      <c r="C443" s="35" t="n"/>
      <c r="D443" s="35" t="n"/>
      <c r="E443" s="36" t="n"/>
      <c r="F443" s="37">
        <f>IF($A443="","",TEXT($A443,"yyyy-mm"))</f>
        <v/>
      </c>
      <c r="G443" s="38" t="n"/>
      <c r="H443" s="37" t="n"/>
    </row>
    <row r="444">
      <c r="A444" s="34" t="n"/>
      <c r="B444" s="35" t="n"/>
      <c r="C444" s="35" t="n"/>
      <c r="D444" s="35" t="n"/>
      <c r="E444" s="36" t="n"/>
      <c r="F444" s="37">
        <f>IF($A444="","",TEXT($A444,"yyyy-mm"))</f>
        <v/>
      </c>
      <c r="G444" s="38" t="n"/>
      <c r="H444" s="37" t="n"/>
    </row>
    <row r="445">
      <c r="A445" s="34" t="n"/>
      <c r="B445" s="35" t="n"/>
      <c r="C445" s="35" t="n"/>
      <c r="D445" s="35" t="n"/>
      <c r="E445" s="36" t="n"/>
      <c r="F445" s="37">
        <f>IF($A445="","",TEXT($A445,"yyyy-mm"))</f>
        <v/>
      </c>
      <c r="G445" s="38" t="n"/>
      <c r="H445" s="37" t="n"/>
    </row>
    <row r="446">
      <c r="A446" s="34" t="n"/>
      <c r="B446" s="35" t="n"/>
      <c r="C446" s="35" t="n"/>
      <c r="D446" s="35" t="n"/>
      <c r="E446" s="36" t="n"/>
      <c r="F446" s="37">
        <f>IF($A446="","",TEXT($A446,"yyyy-mm"))</f>
        <v/>
      </c>
      <c r="G446" s="38" t="n"/>
      <c r="H446" s="37" t="n"/>
    </row>
    <row r="447">
      <c r="A447" s="34" t="n"/>
      <c r="B447" s="35" t="n"/>
      <c r="C447" s="35" t="n"/>
      <c r="D447" s="35" t="n"/>
      <c r="E447" s="36" t="n"/>
      <c r="F447" s="37">
        <f>IF($A447="","",TEXT($A447,"yyyy-mm"))</f>
        <v/>
      </c>
      <c r="G447" s="38" t="n"/>
      <c r="H447" s="37" t="n"/>
    </row>
    <row r="448">
      <c r="A448" s="34" t="n"/>
      <c r="B448" s="35" t="n"/>
      <c r="C448" s="35" t="n"/>
      <c r="D448" s="35" t="n"/>
      <c r="E448" s="36" t="n"/>
      <c r="F448" s="37">
        <f>IF($A448="","",TEXT($A448,"yyyy-mm"))</f>
        <v/>
      </c>
      <c r="G448" s="38" t="n"/>
      <c r="H448" s="37" t="n"/>
    </row>
    <row r="449">
      <c r="A449" s="34" t="n"/>
      <c r="B449" s="35" t="n"/>
      <c r="C449" s="35" t="n"/>
      <c r="D449" s="35" t="n"/>
      <c r="E449" s="36" t="n"/>
      <c r="F449" s="37">
        <f>IF($A449="","",TEXT($A449,"yyyy-mm"))</f>
        <v/>
      </c>
      <c r="G449" s="38" t="n"/>
      <c r="H449" s="37" t="n"/>
    </row>
    <row r="450">
      <c r="A450" s="34" t="n"/>
      <c r="B450" s="35" t="n"/>
      <c r="C450" s="35" t="n"/>
      <c r="D450" s="35" t="n"/>
      <c r="E450" s="36" t="n"/>
      <c r="F450" s="37">
        <f>IF($A450="","",TEXT($A450,"yyyy-mm"))</f>
        <v/>
      </c>
      <c r="G450" s="38" t="n"/>
      <c r="H450" s="37" t="n"/>
    </row>
    <row r="451">
      <c r="A451" s="34" t="n"/>
      <c r="B451" s="35" t="n"/>
      <c r="C451" s="35" t="n"/>
      <c r="D451" s="35" t="n"/>
      <c r="E451" s="36" t="n"/>
      <c r="F451" s="37">
        <f>IF($A451="","",TEXT($A451,"yyyy-mm"))</f>
        <v/>
      </c>
      <c r="G451" s="38" t="n"/>
      <c r="H451" s="37" t="n"/>
    </row>
    <row r="452">
      <c r="A452" s="34" t="n"/>
      <c r="B452" s="35" t="n"/>
      <c r="C452" s="35" t="n"/>
      <c r="D452" s="35" t="n"/>
      <c r="E452" s="36" t="n"/>
      <c r="F452" s="37">
        <f>IF($A452="","",TEXT($A452,"yyyy-mm"))</f>
        <v/>
      </c>
      <c r="G452" s="38" t="n"/>
      <c r="H452" s="37" t="n"/>
    </row>
    <row r="453">
      <c r="A453" s="34" t="n"/>
      <c r="B453" s="35" t="n"/>
      <c r="C453" s="35" t="n"/>
      <c r="D453" s="35" t="n"/>
      <c r="E453" s="36" t="n"/>
      <c r="F453" s="37">
        <f>IF($A453="","",TEXT($A453,"yyyy-mm"))</f>
        <v/>
      </c>
      <c r="G453" s="38" t="n"/>
      <c r="H453" s="37" t="n"/>
    </row>
    <row r="454">
      <c r="A454" s="34" t="n"/>
      <c r="B454" s="35" t="n"/>
      <c r="C454" s="35" t="n"/>
      <c r="D454" s="35" t="n"/>
      <c r="E454" s="36" t="n"/>
      <c r="F454" s="37">
        <f>IF($A454="","",TEXT($A454,"yyyy-mm"))</f>
        <v/>
      </c>
      <c r="G454" s="38" t="n"/>
      <c r="H454" s="37" t="n"/>
    </row>
    <row r="455">
      <c r="A455" s="34" t="n"/>
      <c r="B455" s="35" t="n"/>
      <c r="C455" s="35" t="n"/>
      <c r="D455" s="35" t="n"/>
      <c r="E455" s="36" t="n"/>
      <c r="F455" s="37">
        <f>IF($A455="","",TEXT($A455,"yyyy-mm"))</f>
        <v/>
      </c>
      <c r="G455" s="38" t="n"/>
      <c r="H455" s="37" t="n"/>
    </row>
    <row r="456">
      <c r="A456" s="34" t="n"/>
      <c r="B456" s="35" t="n"/>
      <c r="C456" s="35" t="n"/>
      <c r="D456" s="35" t="n"/>
      <c r="E456" s="36" t="n"/>
      <c r="F456" s="37">
        <f>IF($A456="","",TEXT($A456,"yyyy-mm"))</f>
        <v/>
      </c>
      <c r="G456" s="38" t="n"/>
      <c r="H456" s="37" t="n"/>
    </row>
    <row r="457">
      <c r="A457" s="34" t="n"/>
      <c r="B457" s="35" t="n"/>
      <c r="C457" s="35" t="n"/>
      <c r="D457" s="35" t="n"/>
      <c r="E457" s="36" t="n"/>
      <c r="F457" s="37">
        <f>IF($A457="","",TEXT($A457,"yyyy-mm"))</f>
        <v/>
      </c>
      <c r="G457" s="38" t="n"/>
      <c r="H457" s="37" t="n"/>
    </row>
    <row r="458">
      <c r="A458" s="34" t="n"/>
      <c r="B458" s="35" t="n"/>
      <c r="C458" s="35" t="n"/>
      <c r="D458" s="35" t="n"/>
      <c r="E458" s="36" t="n"/>
      <c r="F458" s="37">
        <f>IF($A458="","",TEXT($A458,"yyyy-mm"))</f>
        <v/>
      </c>
      <c r="G458" s="38" t="n"/>
      <c r="H458" s="37" t="n"/>
    </row>
    <row r="459">
      <c r="A459" s="34" t="n"/>
      <c r="B459" s="35" t="n"/>
      <c r="C459" s="35" t="n"/>
      <c r="D459" s="35" t="n"/>
      <c r="E459" s="36" t="n"/>
      <c r="F459" s="37">
        <f>IF($A459="","",TEXT($A459,"yyyy-mm"))</f>
        <v/>
      </c>
      <c r="G459" s="38" t="n"/>
      <c r="H459" s="37" t="n"/>
    </row>
    <row r="460">
      <c r="A460" s="34" t="n"/>
      <c r="B460" s="35" t="n"/>
      <c r="C460" s="35" t="n"/>
      <c r="D460" s="35" t="n"/>
      <c r="E460" s="36" t="n"/>
      <c r="F460" s="37">
        <f>IF($A460="","",TEXT($A460,"yyyy-mm"))</f>
        <v/>
      </c>
      <c r="G460" s="38" t="n"/>
      <c r="H460" s="37" t="n"/>
    </row>
    <row r="461">
      <c r="A461" s="34" t="n"/>
      <c r="B461" s="35" t="n"/>
      <c r="C461" s="35" t="n"/>
      <c r="D461" s="35" t="n"/>
      <c r="E461" s="36" t="n"/>
      <c r="F461" s="37">
        <f>IF($A461="","",TEXT($A461,"yyyy-mm"))</f>
        <v/>
      </c>
      <c r="G461" s="38" t="n"/>
      <c r="H461" s="37" t="n"/>
    </row>
    <row r="462">
      <c r="A462" s="34" t="n"/>
      <c r="B462" s="35" t="n"/>
      <c r="C462" s="35" t="n"/>
      <c r="D462" s="35" t="n"/>
      <c r="E462" s="36" t="n"/>
      <c r="F462" s="37">
        <f>IF($A462="","",TEXT($A462,"yyyy-mm"))</f>
        <v/>
      </c>
      <c r="G462" s="38" t="n"/>
      <c r="H462" s="37" t="n"/>
    </row>
    <row r="463">
      <c r="A463" s="34" t="n"/>
      <c r="B463" s="35" t="n"/>
      <c r="C463" s="35" t="n"/>
      <c r="D463" s="35" t="n"/>
      <c r="E463" s="36" t="n"/>
      <c r="F463" s="37">
        <f>IF($A463="","",TEXT($A463,"yyyy-mm"))</f>
        <v/>
      </c>
      <c r="G463" s="38" t="n"/>
      <c r="H463" s="37" t="n"/>
    </row>
    <row r="464">
      <c r="A464" s="34" t="n"/>
      <c r="B464" s="35" t="n"/>
      <c r="C464" s="35" t="n"/>
      <c r="D464" s="35" t="n"/>
      <c r="E464" s="36" t="n"/>
      <c r="F464" s="37">
        <f>IF($A464="","",TEXT($A464,"yyyy-mm"))</f>
        <v/>
      </c>
      <c r="G464" s="38" t="n"/>
      <c r="H464" s="37" t="n"/>
    </row>
    <row r="465">
      <c r="A465" s="34" t="n"/>
      <c r="B465" s="35" t="n"/>
      <c r="C465" s="35" t="n"/>
      <c r="D465" s="35" t="n"/>
      <c r="E465" s="36" t="n"/>
      <c r="F465" s="37">
        <f>IF($A465="","",TEXT($A465,"yyyy-mm"))</f>
        <v/>
      </c>
      <c r="G465" s="38" t="n"/>
      <c r="H465" s="37" t="n"/>
    </row>
    <row r="466">
      <c r="A466" s="34" t="n"/>
      <c r="B466" s="35" t="n"/>
      <c r="C466" s="35" t="n"/>
      <c r="D466" s="35" t="n"/>
      <c r="E466" s="36" t="n"/>
      <c r="F466" s="37">
        <f>IF($A466="","",TEXT($A466,"yyyy-mm"))</f>
        <v/>
      </c>
      <c r="G466" s="38" t="n"/>
      <c r="H466" s="37" t="n"/>
    </row>
    <row r="467">
      <c r="A467" s="34" t="n"/>
      <c r="B467" s="35" t="n"/>
      <c r="C467" s="35" t="n"/>
      <c r="D467" s="35" t="n"/>
      <c r="E467" s="36" t="n"/>
      <c r="F467" s="37">
        <f>IF($A467="","",TEXT($A467,"yyyy-mm"))</f>
        <v/>
      </c>
      <c r="G467" s="38" t="n"/>
      <c r="H467" s="37" t="n"/>
    </row>
    <row r="468">
      <c r="A468" s="34" t="n"/>
      <c r="B468" s="35" t="n"/>
      <c r="C468" s="35" t="n"/>
      <c r="D468" s="35" t="n"/>
      <c r="E468" s="36" t="n"/>
      <c r="F468" s="37">
        <f>IF($A468="","",TEXT($A468,"yyyy-mm"))</f>
        <v/>
      </c>
      <c r="G468" s="38" t="n"/>
      <c r="H468" s="37" t="n"/>
    </row>
    <row r="469">
      <c r="A469" s="34" t="n"/>
      <c r="B469" s="35" t="n"/>
      <c r="C469" s="35" t="n"/>
      <c r="D469" s="35" t="n"/>
      <c r="E469" s="36" t="n"/>
      <c r="F469" s="37">
        <f>IF($A469="","",TEXT($A469,"yyyy-mm"))</f>
        <v/>
      </c>
      <c r="G469" s="38" t="n"/>
      <c r="H469" s="37" t="n"/>
    </row>
    <row r="470">
      <c r="A470" s="34" t="n"/>
      <c r="B470" s="35" t="n"/>
      <c r="C470" s="35" t="n"/>
      <c r="D470" s="35" t="n"/>
      <c r="E470" s="36" t="n"/>
      <c r="F470" s="37">
        <f>IF($A470="","",TEXT($A470,"yyyy-mm"))</f>
        <v/>
      </c>
      <c r="G470" s="38" t="n"/>
      <c r="H470" s="37" t="n"/>
    </row>
    <row r="471">
      <c r="A471" s="34" t="n"/>
      <c r="B471" s="35" t="n"/>
      <c r="C471" s="35" t="n"/>
      <c r="D471" s="35" t="n"/>
      <c r="E471" s="36" t="n"/>
      <c r="F471" s="37">
        <f>IF($A471="","",TEXT($A471,"yyyy-mm"))</f>
        <v/>
      </c>
      <c r="G471" s="38" t="n"/>
      <c r="H471" s="37" t="n"/>
    </row>
    <row r="472">
      <c r="A472" s="34" t="n"/>
      <c r="B472" s="35" t="n"/>
      <c r="C472" s="35" t="n"/>
      <c r="D472" s="35" t="n"/>
      <c r="E472" s="36" t="n"/>
      <c r="F472" s="37">
        <f>IF($A472="","",TEXT($A472,"yyyy-mm"))</f>
        <v/>
      </c>
      <c r="G472" s="38" t="n"/>
      <c r="H472" s="37" t="n"/>
    </row>
    <row r="473">
      <c r="A473" s="34" t="n"/>
      <c r="B473" s="35" t="n"/>
      <c r="C473" s="35" t="n"/>
      <c r="D473" s="35" t="n"/>
      <c r="E473" s="36" t="n"/>
      <c r="F473" s="37">
        <f>IF($A473="","",TEXT($A473,"yyyy-mm"))</f>
        <v/>
      </c>
      <c r="G473" s="38" t="n"/>
      <c r="H473" s="37" t="n"/>
    </row>
    <row r="474">
      <c r="A474" s="34" t="n"/>
      <c r="B474" s="35" t="n"/>
      <c r="C474" s="35" t="n"/>
      <c r="D474" s="35" t="n"/>
      <c r="E474" s="36" t="n"/>
      <c r="F474" s="37">
        <f>IF($A474="","",TEXT($A474,"yyyy-mm"))</f>
        <v/>
      </c>
      <c r="G474" s="38" t="n"/>
      <c r="H474" s="37" t="n"/>
    </row>
    <row r="475">
      <c r="A475" s="34" t="n"/>
      <c r="B475" s="35" t="n"/>
      <c r="C475" s="35" t="n"/>
      <c r="D475" s="35" t="n"/>
      <c r="E475" s="36" t="n"/>
      <c r="F475" s="37">
        <f>IF($A475="","",TEXT($A475,"yyyy-mm"))</f>
        <v/>
      </c>
      <c r="G475" s="38" t="n"/>
      <c r="H475" s="37" t="n"/>
    </row>
    <row r="476">
      <c r="A476" s="34" t="n"/>
      <c r="B476" s="35" t="n"/>
      <c r="C476" s="35" t="n"/>
      <c r="D476" s="35" t="n"/>
      <c r="E476" s="36" t="n"/>
      <c r="F476" s="37">
        <f>IF($A476="","",TEXT($A476,"yyyy-mm"))</f>
        <v/>
      </c>
      <c r="G476" s="38" t="n"/>
      <c r="H476" s="37" t="n"/>
    </row>
    <row r="477">
      <c r="A477" s="34" t="n"/>
      <c r="B477" s="35" t="n"/>
      <c r="C477" s="35" t="n"/>
      <c r="D477" s="35" t="n"/>
      <c r="E477" s="36" t="n"/>
      <c r="F477" s="37">
        <f>IF($A477="","",TEXT($A477,"yyyy-mm"))</f>
        <v/>
      </c>
      <c r="G477" s="38" t="n"/>
      <c r="H477" s="37" t="n"/>
    </row>
    <row r="478">
      <c r="A478" s="34" t="n"/>
      <c r="B478" s="35" t="n"/>
      <c r="C478" s="35" t="n"/>
      <c r="D478" s="35" t="n"/>
      <c r="E478" s="36" t="n"/>
      <c r="F478" s="37">
        <f>IF($A478="","",TEXT($A478,"yyyy-mm"))</f>
        <v/>
      </c>
      <c r="G478" s="38" t="n"/>
      <c r="H478" s="37" t="n"/>
    </row>
    <row r="479">
      <c r="A479" s="34" t="n"/>
      <c r="B479" s="35" t="n"/>
      <c r="C479" s="35" t="n"/>
      <c r="D479" s="35" t="n"/>
      <c r="E479" s="36" t="n"/>
      <c r="F479" s="37">
        <f>IF($A479="","",TEXT($A479,"yyyy-mm"))</f>
        <v/>
      </c>
      <c r="G479" s="38" t="n"/>
      <c r="H479" s="37" t="n"/>
    </row>
    <row r="480">
      <c r="A480" s="34" t="n"/>
      <c r="B480" s="35" t="n"/>
      <c r="C480" s="35" t="n"/>
      <c r="D480" s="35" t="n"/>
      <c r="E480" s="36" t="n"/>
      <c r="F480" s="37">
        <f>IF($A480="","",TEXT($A480,"yyyy-mm"))</f>
        <v/>
      </c>
      <c r="G480" s="38" t="n"/>
      <c r="H480" s="37" t="n"/>
    </row>
    <row r="481">
      <c r="A481" s="34" t="n"/>
      <c r="B481" s="35" t="n"/>
      <c r="C481" s="35" t="n"/>
      <c r="D481" s="35" t="n"/>
      <c r="E481" s="36" t="n"/>
      <c r="F481" s="37">
        <f>IF($A481="","",TEXT($A481,"yyyy-mm"))</f>
        <v/>
      </c>
      <c r="G481" s="38" t="n"/>
      <c r="H481" s="37" t="n"/>
    </row>
    <row r="482">
      <c r="A482" s="34" t="n"/>
      <c r="B482" s="35" t="n"/>
      <c r="C482" s="35" t="n"/>
      <c r="D482" s="35" t="n"/>
      <c r="E482" s="36" t="n"/>
      <c r="F482" s="37">
        <f>IF($A482="","",TEXT($A482,"yyyy-mm"))</f>
        <v/>
      </c>
      <c r="G482" s="38" t="n"/>
      <c r="H482" s="37" t="n"/>
    </row>
    <row r="483">
      <c r="A483" s="34" t="n"/>
      <c r="B483" s="35" t="n"/>
      <c r="C483" s="35" t="n"/>
      <c r="D483" s="35" t="n"/>
      <c r="E483" s="36" t="n"/>
      <c r="F483" s="37">
        <f>IF($A483="","",TEXT($A483,"yyyy-mm"))</f>
        <v/>
      </c>
      <c r="G483" s="38" t="n"/>
      <c r="H483" s="37" t="n"/>
    </row>
    <row r="484">
      <c r="A484" s="34" t="n"/>
      <c r="B484" s="35" t="n"/>
      <c r="C484" s="35" t="n"/>
      <c r="D484" s="35" t="n"/>
      <c r="E484" s="36" t="n"/>
      <c r="F484" s="37">
        <f>IF($A484="","",TEXT($A484,"yyyy-mm"))</f>
        <v/>
      </c>
      <c r="G484" s="38" t="n"/>
      <c r="H484" s="37" t="n"/>
    </row>
    <row r="485">
      <c r="A485" s="34" t="n"/>
      <c r="B485" s="35" t="n"/>
      <c r="C485" s="35" t="n"/>
      <c r="D485" s="35" t="n"/>
      <c r="E485" s="36" t="n"/>
      <c r="F485" s="37">
        <f>IF($A485="","",TEXT($A485,"yyyy-mm"))</f>
        <v/>
      </c>
      <c r="G485" s="38" t="n"/>
      <c r="H485" s="37" t="n"/>
    </row>
    <row r="486">
      <c r="A486" s="34" t="n"/>
      <c r="B486" s="35" t="n"/>
      <c r="C486" s="35" t="n"/>
      <c r="D486" s="35" t="n"/>
      <c r="E486" s="36" t="n"/>
      <c r="F486" s="37">
        <f>IF($A486="","",TEXT($A486,"yyyy-mm"))</f>
        <v/>
      </c>
      <c r="G486" s="38" t="n"/>
      <c r="H486" s="37" t="n"/>
    </row>
    <row r="487">
      <c r="A487" s="34" t="n"/>
      <c r="B487" s="35" t="n"/>
      <c r="C487" s="35" t="n"/>
      <c r="D487" s="35" t="n"/>
      <c r="E487" s="36" t="n"/>
      <c r="F487" s="37">
        <f>IF($A487="","",TEXT($A487,"yyyy-mm"))</f>
        <v/>
      </c>
      <c r="G487" s="38" t="n"/>
      <c r="H487" s="37" t="n"/>
    </row>
    <row r="488">
      <c r="A488" s="34" t="n"/>
      <c r="B488" s="35" t="n"/>
      <c r="C488" s="35" t="n"/>
      <c r="D488" s="35" t="n"/>
      <c r="E488" s="36" t="n"/>
      <c r="F488" s="37">
        <f>IF($A488="","",TEXT($A488,"yyyy-mm"))</f>
        <v/>
      </c>
      <c r="G488" s="38" t="n"/>
      <c r="H488" s="37" t="n"/>
    </row>
    <row r="489">
      <c r="A489" s="34" t="n"/>
      <c r="B489" s="35" t="n"/>
      <c r="C489" s="35" t="n"/>
      <c r="D489" s="35" t="n"/>
      <c r="E489" s="36" t="n"/>
      <c r="F489" s="37">
        <f>IF($A489="","",TEXT($A489,"yyyy-mm"))</f>
        <v/>
      </c>
      <c r="G489" s="38" t="n"/>
      <c r="H489" s="37" t="n"/>
    </row>
    <row r="490">
      <c r="A490" s="34" t="n"/>
      <c r="B490" s="35" t="n"/>
      <c r="C490" s="35" t="n"/>
      <c r="D490" s="35" t="n"/>
      <c r="E490" s="36" t="n"/>
      <c r="F490" s="37">
        <f>IF($A490="","",TEXT($A490,"yyyy-mm"))</f>
        <v/>
      </c>
      <c r="G490" s="38" t="n"/>
      <c r="H490" s="37" t="n"/>
    </row>
    <row r="491">
      <c r="A491" s="34" t="n"/>
      <c r="B491" s="35" t="n"/>
      <c r="C491" s="35" t="n"/>
      <c r="D491" s="35" t="n"/>
      <c r="E491" s="36" t="n"/>
      <c r="F491" s="37">
        <f>IF($A491="","",TEXT($A491,"yyyy-mm"))</f>
        <v/>
      </c>
      <c r="G491" s="38" t="n"/>
      <c r="H491" s="37" t="n"/>
    </row>
    <row r="492">
      <c r="A492" s="34" t="n"/>
      <c r="B492" s="35" t="n"/>
      <c r="C492" s="35" t="n"/>
      <c r="D492" s="35" t="n"/>
      <c r="E492" s="36" t="n"/>
      <c r="F492" s="37">
        <f>IF($A492="","",TEXT($A492,"yyyy-mm"))</f>
        <v/>
      </c>
      <c r="G492" s="38" t="n"/>
      <c r="H492" s="37" t="n"/>
    </row>
    <row r="493">
      <c r="A493" s="34" t="n"/>
      <c r="B493" s="35" t="n"/>
      <c r="C493" s="35" t="n"/>
      <c r="D493" s="35" t="n"/>
      <c r="E493" s="36" t="n"/>
      <c r="F493" s="37">
        <f>IF($A493="","",TEXT($A493,"yyyy-mm"))</f>
        <v/>
      </c>
      <c r="G493" s="38" t="n"/>
      <c r="H493" s="37" t="n"/>
    </row>
    <row r="494">
      <c r="A494" s="34" t="n"/>
      <c r="B494" s="35" t="n"/>
      <c r="C494" s="35" t="n"/>
      <c r="D494" s="35" t="n"/>
      <c r="E494" s="36" t="n"/>
      <c r="F494" s="37">
        <f>IF($A494="","",TEXT($A494,"yyyy-mm"))</f>
        <v/>
      </c>
      <c r="G494" s="38" t="n"/>
      <c r="H494" s="37" t="n"/>
    </row>
    <row r="495">
      <c r="A495" s="34" t="n"/>
      <c r="B495" s="35" t="n"/>
      <c r="C495" s="35" t="n"/>
      <c r="D495" s="35" t="n"/>
      <c r="E495" s="36" t="n"/>
      <c r="F495" s="37">
        <f>IF($A495="","",TEXT($A495,"yyyy-mm"))</f>
        <v/>
      </c>
      <c r="G495" s="38" t="n"/>
      <c r="H495" s="37" t="n"/>
    </row>
    <row r="496">
      <c r="A496" s="34" t="n"/>
      <c r="B496" s="35" t="n"/>
      <c r="C496" s="35" t="n"/>
      <c r="D496" s="35" t="n"/>
      <c r="E496" s="36" t="n"/>
      <c r="F496" s="37">
        <f>IF($A496="","",TEXT($A496,"yyyy-mm"))</f>
        <v/>
      </c>
      <c r="G496" s="38" t="n"/>
      <c r="H496" s="37" t="n"/>
    </row>
    <row r="497">
      <c r="A497" s="34" t="n"/>
      <c r="B497" s="35" t="n"/>
      <c r="C497" s="35" t="n"/>
      <c r="D497" s="35" t="n"/>
      <c r="E497" s="36" t="n"/>
      <c r="F497" s="37">
        <f>IF($A497="","",TEXT($A497,"yyyy-mm"))</f>
        <v/>
      </c>
      <c r="G497" s="38" t="n"/>
      <c r="H497" s="37" t="n"/>
    </row>
    <row r="498">
      <c r="A498" s="34" t="n"/>
      <c r="B498" s="35" t="n"/>
      <c r="C498" s="35" t="n"/>
      <c r="D498" s="35" t="n"/>
      <c r="E498" s="36" t="n"/>
      <c r="F498" s="37">
        <f>IF($A498="","",TEXT($A498,"yyyy-mm"))</f>
        <v/>
      </c>
      <c r="G498" s="38" t="n"/>
      <c r="H498" s="37" t="n"/>
    </row>
    <row r="499">
      <c r="A499" s="34" t="n"/>
      <c r="B499" s="35" t="n"/>
      <c r="C499" s="35" t="n"/>
      <c r="D499" s="35" t="n"/>
      <c r="E499" s="36" t="n"/>
      <c r="F499" s="37">
        <f>IF($A499="","",TEXT($A499,"yyyy-mm"))</f>
        <v/>
      </c>
      <c r="G499" s="38" t="n"/>
      <c r="H499" s="37" t="n"/>
    </row>
    <row r="500">
      <c r="A500" s="34" t="n"/>
      <c r="B500" s="35" t="n"/>
      <c r="C500" s="35" t="n"/>
      <c r="D500" s="35" t="n"/>
      <c r="E500" s="36" t="n"/>
      <c r="F500" s="37">
        <f>IF($A500="","",TEXT($A500,"yyyy-mm"))</f>
        <v/>
      </c>
      <c r="G500" s="38" t="n"/>
      <c r="H500" s="37" t="n"/>
    </row>
    <row r="501">
      <c r="A501" s="34" t="n"/>
      <c r="B501" s="35" t="n"/>
      <c r="C501" s="35" t="n"/>
      <c r="D501" s="35" t="n"/>
      <c r="E501" s="36" t="n"/>
      <c r="F501" s="37">
        <f>IF($A501="","",TEXT($A501,"yyyy-mm"))</f>
        <v/>
      </c>
      <c r="G501" s="38" t="n"/>
      <c r="H501" s="37" t="n"/>
    </row>
    <row r="502">
      <c r="A502" s="34" t="n"/>
      <c r="B502" s="35" t="n"/>
      <c r="C502" s="35" t="n"/>
      <c r="D502" s="35" t="n"/>
      <c r="E502" s="36" t="n"/>
      <c r="F502" s="37">
        <f>IF($A502="","",TEXT($A502,"yyyy-mm"))</f>
        <v/>
      </c>
      <c r="G502" s="38" t="n"/>
      <c r="H502" s="37" t="n"/>
    </row>
    <row r="503">
      <c r="A503" s="34" t="n"/>
      <c r="B503" s="35" t="n"/>
      <c r="C503" s="35" t="n"/>
      <c r="D503" s="35" t="n"/>
      <c r="E503" s="36" t="n"/>
      <c r="F503" s="37">
        <f>IF($A503="","",TEXT($A503,"yyyy-mm"))</f>
        <v/>
      </c>
      <c r="G503" s="38" t="n"/>
      <c r="H503" s="37" t="n"/>
    </row>
    <row r="504">
      <c r="A504" s="34" t="n"/>
      <c r="B504" s="35" t="n"/>
      <c r="C504" s="35" t="n"/>
      <c r="D504" s="35" t="n"/>
      <c r="E504" s="36" t="n"/>
      <c r="F504" s="37">
        <f>IF($A504="","",TEXT($A504,"yyyy-mm"))</f>
        <v/>
      </c>
      <c r="G504" s="38" t="n"/>
      <c r="H504" s="37" t="n"/>
    </row>
    <row r="505">
      <c r="A505" s="34" t="n"/>
      <c r="B505" s="35" t="n"/>
      <c r="C505" s="35" t="n"/>
      <c r="D505" s="35" t="n"/>
      <c r="E505" s="36" t="n"/>
      <c r="F505" s="37">
        <f>IF($A505="","",TEXT($A505,"yyyy-mm"))</f>
        <v/>
      </c>
      <c r="G505" s="38" t="n"/>
      <c r="H505" s="37" t="n"/>
    </row>
    <row r="506">
      <c r="A506" s="34" t="n"/>
      <c r="B506" s="35" t="n"/>
      <c r="C506" s="35" t="n"/>
      <c r="D506" s="35" t="n"/>
      <c r="E506" s="36" t="n"/>
      <c r="F506" s="37">
        <f>IF($A506="","",TEXT($A506,"yyyy-mm"))</f>
        <v/>
      </c>
      <c r="G506" s="38" t="n"/>
      <c r="H506" s="37" t="n"/>
    </row>
    <row r="507">
      <c r="A507" s="34" t="n"/>
      <c r="B507" s="35" t="n"/>
      <c r="C507" s="35" t="n"/>
      <c r="D507" s="35" t="n"/>
      <c r="E507" s="36" t="n"/>
      <c r="F507" s="37">
        <f>IF($A507="","",TEXT($A507,"yyyy-mm"))</f>
        <v/>
      </c>
      <c r="G507" s="38" t="n"/>
      <c r="H507" s="37" t="n"/>
    </row>
    <row r="508">
      <c r="A508" s="34" t="n"/>
      <c r="B508" s="35" t="n"/>
      <c r="C508" s="35" t="n"/>
      <c r="D508" s="35" t="n"/>
      <c r="E508" s="36" t="n"/>
      <c r="F508" s="37">
        <f>IF($A508="","",TEXT($A508,"yyyy-mm"))</f>
        <v/>
      </c>
      <c r="G508" s="38" t="n"/>
      <c r="H508" s="37" t="n"/>
    </row>
    <row r="509">
      <c r="A509" s="34" t="n"/>
      <c r="B509" s="35" t="n"/>
      <c r="C509" s="35" t="n"/>
      <c r="D509" s="35" t="n"/>
      <c r="E509" s="36" t="n"/>
      <c r="F509" s="37">
        <f>IF($A509="","",TEXT($A509,"yyyy-mm"))</f>
        <v/>
      </c>
      <c r="G509" s="38" t="n"/>
      <c r="H509" s="37" t="n"/>
    </row>
    <row r="510">
      <c r="A510" s="34" t="n"/>
      <c r="B510" s="35" t="n"/>
      <c r="C510" s="35" t="n"/>
      <c r="D510" s="35" t="n"/>
      <c r="E510" s="36" t="n"/>
      <c r="F510" s="37">
        <f>IF($A510="","",TEXT($A510,"yyyy-mm"))</f>
        <v/>
      </c>
      <c r="G510" s="38" t="n"/>
      <c r="H510" s="37" t="n"/>
    </row>
    <row r="511">
      <c r="A511" s="34" t="n"/>
      <c r="B511" s="35" t="n"/>
      <c r="C511" s="35" t="n"/>
      <c r="D511" s="35" t="n"/>
      <c r="E511" s="36" t="n"/>
      <c r="F511" s="37">
        <f>IF($A511="","",TEXT($A511,"yyyy-mm"))</f>
        <v/>
      </c>
      <c r="G511" s="38" t="n"/>
      <c r="H511" s="37" t="n"/>
    </row>
    <row r="512">
      <c r="A512" s="34" t="n"/>
      <c r="B512" s="35" t="n"/>
      <c r="C512" s="35" t="n"/>
      <c r="D512" s="35" t="n"/>
      <c r="E512" s="36" t="n"/>
      <c r="F512" s="37">
        <f>IF($A512="","",TEXT($A512,"yyyy-mm"))</f>
        <v/>
      </c>
      <c r="G512" s="38" t="n"/>
      <c r="H512" s="37" t="n"/>
    </row>
    <row r="513">
      <c r="A513" s="34" t="n"/>
      <c r="B513" s="35" t="n"/>
      <c r="C513" s="35" t="n"/>
      <c r="D513" s="35" t="n"/>
      <c r="E513" s="36" t="n"/>
      <c r="F513" s="37">
        <f>IF($A513="","",TEXT($A513,"yyyy-mm"))</f>
        <v/>
      </c>
      <c r="G513" s="38" t="n"/>
      <c r="H513" s="37" t="n"/>
    </row>
    <row r="514">
      <c r="A514" s="34" t="n"/>
      <c r="B514" s="35" t="n"/>
      <c r="C514" s="35" t="n"/>
      <c r="D514" s="35" t="n"/>
      <c r="E514" s="36" t="n"/>
      <c r="F514" s="37">
        <f>IF($A514="","",TEXT($A514,"yyyy-mm"))</f>
        <v/>
      </c>
      <c r="G514" s="38" t="n"/>
      <c r="H514" s="37" t="n"/>
    </row>
    <row r="515">
      <c r="A515" s="34" t="n"/>
      <c r="B515" s="35" t="n"/>
      <c r="C515" s="35" t="n"/>
      <c r="D515" s="35" t="n"/>
      <c r="E515" s="36" t="n"/>
      <c r="F515" s="37">
        <f>IF($A515="","",TEXT($A515,"yyyy-mm"))</f>
        <v/>
      </c>
      <c r="G515" s="38" t="n"/>
      <c r="H515" s="37" t="n"/>
    </row>
    <row r="516">
      <c r="A516" s="34" t="n"/>
      <c r="B516" s="35" t="n"/>
      <c r="C516" s="35" t="n"/>
      <c r="D516" s="35" t="n"/>
      <c r="E516" s="36" t="n"/>
      <c r="F516" s="37">
        <f>IF($A516="","",TEXT($A516,"yyyy-mm"))</f>
        <v/>
      </c>
      <c r="G516" s="38" t="n"/>
      <c r="H516" s="37" t="n"/>
    </row>
    <row r="517">
      <c r="A517" s="34" t="n"/>
      <c r="B517" s="35" t="n"/>
      <c r="C517" s="35" t="n"/>
      <c r="D517" s="35" t="n"/>
      <c r="E517" s="36" t="n"/>
      <c r="F517" s="37">
        <f>IF($A517="","",TEXT($A517,"yyyy-mm"))</f>
        <v/>
      </c>
      <c r="G517" s="38" t="n"/>
      <c r="H517" s="37" t="n"/>
    </row>
    <row r="518">
      <c r="A518" s="34" t="n"/>
      <c r="B518" s="35" t="n"/>
      <c r="C518" s="35" t="n"/>
      <c r="D518" s="35" t="n"/>
      <c r="E518" s="36" t="n"/>
      <c r="F518" s="37">
        <f>IF($A518="","",TEXT($A518,"yyyy-mm"))</f>
        <v/>
      </c>
      <c r="G518" s="38" t="n"/>
      <c r="H518" s="37" t="n"/>
    </row>
    <row r="519">
      <c r="A519" s="34" t="n"/>
      <c r="B519" s="35" t="n"/>
      <c r="C519" s="35" t="n"/>
      <c r="D519" s="35" t="n"/>
      <c r="E519" s="36" t="n"/>
      <c r="F519" s="37">
        <f>IF($A519="","",TEXT($A519,"yyyy-mm"))</f>
        <v/>
      </c>
      <c r="G519" s="38" t="n"/>
      <c r="H519" s="37" t="n"/>
    </row>
    <row r="520">
      <c r="A520" s="34" t="n"/>
      <c r="B520" s="35" t="n"/>
      <c r="C520" s="35" t="n"/>
      <c r="D520" s="35" t="n"/>
      <c r="E520" s="36" t="n"/>
      <c r="F520" s="37">
        <f>IF($A520="","",TEXT($A520,"yyyy-mm"))</f>
        <v/>
      </c>
      <c r="G520" s="38" t="n"/>
      <c r="H520" s="37" t="n"/>
    </row>
    <row r="521">
      <c r="A521" s="34" t="n"/>
      <c r="B521" s="35" t="n"/>
      <c r="C521" s="35" t="n"/>
      <c r="D521" s="35" t="n"/>
      <c r="E521" s="36" t="n"/>
      <c r="F521" s="37">
        <f>IF($A521="","",TEXT($A521,"yyyy-mm"))</f>
        <v/>
      </c>
      <c r="G521" s="38" t="n"/>
      <c r="H521" s="37" t="n"/>
    </row>
    <row r="522">
      <c r="A522" s="34" t="n"/>
      <c r="B522" s="35" t="n"/>
      <c r="C522" s="35" t="n"/>
      <c r="D522" s="35" t="n"/>
      <c r="E522" s="36" t="n"/>
      <c r="F522" s="37">
        <f>IF($A522="","",TEXT($A522,"yyyy-mm"))</f>
        <v/>
      </c>
      <c r="G522" s="38" t="n"/>
      <c r="H522" s="37" t="n"/>
    </row>
    <row r="523">
      <c r="A523" s="34" t="n"/>
      <c r="B523" s="35" t="n"/>
      <c r="C523" s="35" t="n"/>
      <c r="D523" s="35" t="n"/>
      <c r="E523" s="36" t="n"/>
      <c r="F523" s="37">
        <f>IF($A523="","",TEXT($A523,"yyyy-mm"))</f>
        <v/>
      </c>
      <c r="G523" s="38" t="n"/>
      <c r="H523" s="37" t="n"/>
    </row>
    <row r="524">
      <c r="A524" s="34" t="n"/>
      <c r="B524" s="35" t="n"/>
      <c r="C524" s="35" t="n"/>
      <c r="D524" s="35" t="n"/>
      <c r="E524" s="36" t="n"/>
      <c r="F524" s="37">
        <f>IF($A524="","",TEXT($A524,"yyyy-mm"))</f>
        <v/>
      </c>
      <c r="G524" s="38" t="n"/>
      <c r="H524" s="37" t="n"/>
    </row>
    <row r="525">
      <c r="A525" s="34" t="n"/>
      <c r="B525" s="35" t="n"/>
      <c r="C525" s="35" t="n"/>
      <c r="D525" s="35" t="n"/>
      <c r="E525" s="36" t="n"/>
      <c r="F525" s="37">
        <f>IF($A525="","",TEXT($A525,"yyyy-mm"))</f>
        <v/>
      </c>
      <c r="G525" s="38" t="n"/>
      <c r="H525" s="37" t="n"/>
    </row>
    <row r="526">
      <c r="A526" s="34" t="n"/>
      <c r="B526" s="35" t="n"/>
      <c r="C526" s="35" t="n"/>
      <c r="D526" s="35" t="n"/>
      <c r="E526" s="36" t="n"/>
      <c r="F526" s="37">
        <f>IF($A526="","",TEXT($A526,"yyyy-mm"))</f>
        <v/>
      </c>
      <c r="G526" s="38" t="n"/>
      <c r="H526" s="37" t="n"/>
    </row>
    <row r="527">
      <c r="A527" s="34" t="n"/>
      <c r="B527" s="35" t="n"/>
      <c r="C527" s="35" t="n"/>
      <c r="D527" s="35" t="n"/>
      <c r="E527" s="36" t="n"/>
      <c r="F527" s="37">
        <f>IF($A527="","",TEXT($A527,"yyyy-mm"))</f>
        <v/>
      </c>
      <c r="G527" s="38" t="n"/>
      <c r="H527" s="37" t="n"/>
    </row>
    <row r="528">
      <c r="A528" s="34" t="n"/>
      <c r="B528" s="35" t="n"/>
      <c r="C528" s="35" t="n"/>
      <c r="D528" s="35" t="n"/>
      <c r="E528" s="36" t="n"/>
      <c r="F528" s="37">
        <f>IF($A528="","",TEXT($A528,"yyyy-mm"))</f>
        <v/>
      </c>
      <c r="G528" s="38" t="n"/>
      <c r="H528" s="37" t="n"/>
    </row>
    <row r="529">
      <c r="A529" s="34" t="n"/>
      <c r="B529" s="35" t="n"/>
      <c r="C529" s="35" t="n"/>
      <c r="D529" s="35" t="n"/>
      <c r="E529" s="36" t="n"/>
      <c r="F529" s="37">
        <f>IF($A529="","",TEXT($A529,"yyyy-mm"))</f>
        <v/>
      </c>
      <c r="G529" s="38" t="n"/>
      <c r="H529" s="37" t="n"/>
    </row>
    <row r="530">
      <c r="A530" s="34" t="n"/>
      <c r="B530" s="35" t="n"/>
      <c r="C530" s="35" t="n"/>
      <c r="D530" s="35" t="n"/>
      <c r="E530" s="36" t="n"/>
      <c r="F530" s="37">
        <f>IF($A530="","",TEXT($A530,"yyyy-mm"))</f>
        <v/>
      </c>
      <c r="G530" s="38" t="n"/>
      <c r="H530" s="37" t="n"/>
    </row>
    <row r="531">
      <c r="A531" s="34" t="n"/>
      <c r="B531" s="35" t="n"/>
      <c r="C531" s="35" t="n"/>
      <c r="D531" s="35" t="n"/>
      <c r="E531" s="36" t="n"/>
      <c r="F531" s="37">
        <f>IF($A531="","",TEXT($A531,"yyyy-mm"))</f>
        <v/>
      </c>
      <c r="G531" s="38" t="n"/>
      <c r="H531" s="37" t="n"/>
    </row>
    <row r="532">
      <c r="A532" s="34" t="n"/>
      <c r="B532" s="35" t="n"/>
      <c r="C532" s="35" t="n"/>
      <c r="D532" s="35" t="n"/>
      <c r="E532" s="36" t="n"/>
      <c r="F532" s="37">
        <f>IF($A532="","",TEXT($A532,"yyyy-mm"))</f>
        <v/>
      </c>
      <c r="G532" s="38" t="n"/>
      <c r="H532" s="37" t="n"/>
    </row>
    <row r="533">
      <c r="A533" s="34" t="n"/>
      <c r="B533" s="35" t="n"/>
      <c r="C533" s="35" t="n"/>
      <c r="D533" s="35" t="n"/>
      <c r="E533" s="36" t="n"/>
      <c r="F533" s="37">
        <f>IF($A533="","",TEXT($A533,"yyyy-mm"))</f>
        <v/>
      </c>
      <c r="G533" s="38" t="n"/>
      <c r="H533" s="37" t="n"/>
    </row>
    <row r="534">
      <c r="A534" s="34" t="n"/>
      <c r="B534" s="35" t="n"/>
      <c r="C534" s="35" t="n"/>
      <c r="D534" s="35" t="n"/>
      <c r="E534" s="36" t="n"/>
      <c r="F534" s="37">
        <f>IF($A534="","",TEXT($A534,"yyyy-mm"))</f>
        <v/>
      </c>
      <c r="G534" s="38" t="n"/>
      <c r="H534" s="37" t="n"/>
    </row>
    <row r="535">
      <c r="A535" s="34" t="n"/>
      <c r="B535" s="35" t="n"/>
      <c r="C535" s="35" t="n"/>
      <c r="D535" s="35" t="n"/>
      <c r="E535" s="36" t="n"/>
      <c r="F535" s="37">
        <f>IF($A535="","",TEXT($A535,"yyyy-mm"))</f>
        <v/>
      </c>
      <c r="G535" s="38" t="n"/>
      <c r="H535" s="37" t="n"/>
    </row>
    <row r="536">
      <c r="A536" s="34" t="n"/>
      <c r="B536" s="35" t="n"/>
      <c r="C536" s="35" t="n"/>
      <c r="D536" s="35" t="n"/>
      <c r="E536" s="36" t="n"/>
      <c r="F536" s="37">
        <f>IF($A536="","",TEXT($A536,"yyyy-mm"))</f>
        <v/>
      </c>
      <c r="G536" s="38" t="n"/>
      <c r="H536" s="37" t="n"/>
    </row>
    <row r="537">
      <c r="A537" s="34" t="n"/>
      <c r="B537" s="35" t="n"/>
      <c r="C537" s="35" t="n"/>
      <c r="D537" s="35" t="n"/>
      <c r="E537" s="36" t="n"/>
      <c r="F537" s="37">
        <f>IF($A537="","",TEXT($A537,"yyyy-mm"))</f>
        <v/>
      </c>
      <c r="G537" s="38" t="n"/>
      <c r="H537" s="37" t="n"/>
    </row>
    <row r="538">
      <c r="A538" s="34" t="n"/>
      <c r="B538" s="35" t="n"/>
      <c r="C538" s="35" t="n"/>
      <c r="D538" s="35" t="n"/>
      <c r="E538" s="36" t="n"/>
      <c r="F538" s="37">
        <f>IF($A538="","",TEXT($A538,"yyyy-mm"))</f>
        <v/>
      </c>
      <c r="G538" s="38" t="n"/>
      <c r="H538" s="37" t="n"/>
    </row>
    <row r="539">
      <c r="A539" s="34" t="n"/>
      <c r="B539" s="35" t="n"/>
      <c r="C539" s="35" t="n"/>
      <c r="D539" s="35" t="n"/>
      <c r="E539" s="36" t="n"/>
      <c r="F539" s="37">
        <f>IF($A539="","",TEXT($A539,"yyyy-mm"))</f>
        <v/>
      </c>
      <c r="G539" s="38" t="n"/>
      <c r="H539" s="37" t="n"/>
    </row>
    <row r="540">
      <c r="A540" s="34" t="n"/>
      <c r="B540" s="35" t="n"/>
      <c r="C540" s="35" t="n"/>
      <c r="D540" s="35" t="n"/>
      <c r="E540" s="36" t="n"/>
      <c r="F540" s="37">
        <f>IF($A540="","",TEXT($A540,"yyyy-mm"))</f>
        <v/>
      </c>
      <c r="G540" s="38" t="n"/>
      <c r="H540" s="37" t="n"/>
    </row>
    <row r="541">
      <c r="A541" s="34" t="n"/>
      <c r="B541" s="35" t="n"/>
      <c r="C541" s="35" t="n"/>
      <c r="D541" s="35" t="n"/>
      <c r="E541" s="36" t="n"/>
      <c r="F541" s="37">
        <f>IF($A541="","",TEXT($A541,"yyyy-mm"))</f>
        <v/>
      </c>
      <c r="G541" s="38" t="n"/>
      <c r="H541" s="37" t="n"/>
    </row>
    <row r="542">
      <c r="A542" s="34" t="n"/>
      <c r="B542" s="35" t="n"/>
      <c r="C542" s="35" t="n"/>
      <c r="D542" s="35" t="n"/>
      <c r="E542" s="36" t="n"/>
      <c r="F542" s="37">
        <f>IF($A542="","",TEXT($A542,"yyyy-mm"))</f>
        <v/>
      </c>
      <c r="G542" s="38" t="n"/>
      <c r="H542" s="37" t="n"/>
    </row>
    <row r="543">
      <c r="A543" s="34" t="n"/>
      <c r="B543" s="35" t="n"/>
      <c r="C543" s="35" t="n"/>
      <c r="D543" s="35" t="n"/>
      <c r="E543" s="36" t="n"/>
      <c r="F543" s="37">
        <f>IF($A543="","",TEXT($A543,"yyyy-mm"))</f>
        <v/>
      </c>
      <c r="G543" s="38" t="n"/>
      <c r="H543" s="37" t="n"/>
    </row>
    <row r="544">
      <c r="A544" s="34" t="n"/>
      <c r="B544" s="35" t="n"/>
      <c r="C544" s="35" t="n"/>
      <c r="D544" s="35" t="n"/>
      <c r="E544" s="36" t="n"/>
      <c r="F544" s="37">
        <f>IF($A544="","",TEXT($A544,"yyyy-mm"))</f>
        <v/>
      </c>
      <c r="G544" s="38" t="n"/>
      <c r="H544" s="37" t="n"/>
    </row>
    <row r="545">
      <c r="A545" s="34" t="n"/>
      <c r="B545" s="35" t="n"/>
      <c r="C545" s="35" t="n"/>
      <c r="D545" s="35" t="n"/>
      <c r="E545" s="36" t="n"/>
      <c r="F545" s="37">
        <f>IF($A545="","",TEXT($A545,"yyyy-mm"))</f>
        <v/>
      </c>
      <c r="G545" s="38" t="n"/>
      <c r="H545" s="37" t="n"/>
    </row>
    <row r="546">
      <c r="A546" s="34" t="n"/>
      <c r="B546" s="35" t="n"/>
      <c r="C546" s="35" t="n"/>
      <c r="D546" s="35" t="n"/>
      <c r="E546" s="36" t="n"/>
      <c r="F546" s="37">
        <f>IF($A546="","",TEXT($A546,"yyyy-mm"))</f>
        <v/>
      </c>
      <c r="G546" s="38" t="n"/>
      <c r="H546" s="37" t="n"/>
    </row>
    <row r="547">
      <c r="A547" s="34" t="n"/>
      <c r="B547" s="35" t="n"/>
      <c r="C547" s="35" t="n"/>
      <c r="D547" s="35" t="n"/>
      <c r="E547" s="36" t="n"/>
      <c r="F547" s="37">
        <f>IF($A547="","",TEXT($A547,"yyyy-mm"))</f>
        <v/>
      </c>
      <c r="G547" s="38" t="n"/>
      <c r="H547" s="37" t="n"/>
    </row>
    <row r="548">
      <c r="A548" s="34" t="n"/>
      <c r="B548" s="35" t="n"/>
      <c r="C548" s="35" t="n"/>
      <c r="D548" s="35" t="n"/>
      <c r="E548" s="36" t="n"/>
      <c r="F548" s="37">
        <f>IF($A548="","",TEXT($A548,"yyyy-mm"))</f>
        <v/>
      </c>
      <c r="G548" s="38" t="n"/>
      <c r="H548" s="37" t="n"/>
    </row>
    <row r="549">
      <c r="A549" s="34" t="n"/>
      <c r="B549" s="35" t="n"/>
      <c r="C549" s="35" t="n"/>
      <c r="D549" s="35" t="n"/>
      <c r="E549" s="36" t="n"/>
      <c r="F549" s="37">
        <f>IF($A549="","",TEXT($A549,"yyyy-mm"))</f>
        <v/>
      </c>
      <c r="G549" s="38" t="n"/>
      <c r="H549" s="37" t="n"/>
    </row>
    <row r="550">
      <c r="A550" s="34" t="n"/>
      <c r="B550" s="35" t="n"/>
      <c r="C550" s="35" t="n"/>
      <c r="D550" s="35" t="n"/>
      <c r="E550" s="36" t="n"/>
      <c r="F550" s="37">
        <f>IF($A550="","",TEXT($A550,"yyyy-mm"))</f>
        <v/>
      </c>
      <c r="G550" s="38" t="n"/>
      <c r="H550" s="37" t="n"/>
    </row>
    <row r="551">
      <c r="A551" s="34" t="n"/>
      <c r="B551" s="35" t="n"/>
      <c r="C551" s="35" t="n"/>
      <c r="D551" s="35" t="n"/>
      <c r="E551" s="36" t="n"/>
      <c r="F551" s="37">
        <f>IF($A551="","",TEXT($A551,"yyyy-mm"))</f>
        <v/>
      </c>
      <c r="G551" s="38" t="n"/>
      <c r="H551" s="37" t="n"/>
    </row>
    <row r="552">
      <c r="A552" s="34" t="n"/>
      <c r="B552" s="35" t="n"/>
      <c r="C552" s="35" t="n"/>
      <c r="D552" s="35" t="n"/>
      <c r="E552" s="36" t="n"/>
      <c r="F552" s="37">
        <f>IF($A552="","",TEXT($A552,"yyyy-mm"))</f>
        <v/>
      </c>
      <c r="G552" s="38" t="n"/>
      <c r="H552" s="37" t="n"/>
    </row>
    <row r="553">
      <c r="A553" s="34" t="n"/>
      <c r="B553" s="35" t="n"/>
      <c r="C553" s="35" t="n"/>
      <c r="D553" s="35" t="n"/>
      <c r="E553" s="36" t="n"/>
      <c r="F553" s="37">
        <f>IF($A553="","",TEXT($A553,"yyyy-mm"))</f>
        <v/>
      </c>
      <c r="G553" s="38" t="n"/>
      <c r="H553" s="37" t="n"/>
    </row>
    <row r="554">
      <c r="A554" s="34" t="n"/>
      <c r="B554" s="35" t="n"/>
      <c r="C554" s="35" t="n"/>
      <c r="D554" s="35" t="n"/>
      <c r="E554" s="36" t="n"/>
      <c r="F554" s="37">
        <f>IF($A554="","",TEXT($A554,"yyyy-mm"))</f>
        <v/>
      </c>
      <c r="G554" s="38" t="n"/>
      <c r="H554" s="37" t="n"/>
    </row>
    <row r="555">
      <c r="A555" s="34" t="n"/>
      <c r="B555" s="35" t="n"/>
      <c r="C555" s="35" t="n"/>
      <c r="D555" s="35" t="n"/>
      <c r="E555" s="36" t="n"/>
      <c r="F555" s="37">
        <f>IF($A555="","",TEXT($A555,"yyyy-mm"))</f>
        <v/>
      </c>
      <c r="G555" s="38" t="n"/>
      <c r="H555" s="37" t="n"/>
    </row>
    <row r="556">
      <c r="A556" s="34" t="n"/>
      <c r="B556" s="35" t="n"/>
      <c r="C556" s="35" t="n"/>
      <c r="D556" s="35" t="n"/>
      <c r="E556" s="36" t="n"/>
      <c r="F556" s="37">
        <f>IF($A556="","",TEXT($A556,"yyyy-mm"))</f>
        <v/>
      </c>
      <c r="G556" s="38" t="n"/>
      <c r="H556" s="37" t="n"/>
    </row>
    <row r="557">
      <c r="A557" s="34" t="n"/>
      <c r="B557" s="35" t="n"/>
      <c r="C557" s="35" t="n"/>
      <c r="D557" s="35" t="n"/>
      <c r="E557" s="36" t="n"/>
      <c r="F557" s="37">
        <f>IF($A557="","",TEXT($A557,"yyyy-mm"))</f>
        <v/>
      </c>
      <c r="G557" s="38" t="n"/>
      <c r="H557" s="37" t="n"/>
    </row>
    <row r="558">
      <c r="A558" s="34" t="n"/>
      <c r="B558" s="35" t="n"/>
      <c r="C558" s="35" t="n"/>
      <c r="D558" s="35" t="n"/>
      <c r="E558" s="36" t="n"/>
      <c r="F558" s="37">
        <f>IF($A558="","",TEXT($A558,"yyyy-mm"))</f>
        <v/>
      </c>
      <c r="G558" s="38" t="n"/>
      <c r="H558" s="37" t="n"/>
    </row>
    <row r="559">
      <c r="A559" s="34" t="n"/>
      <c r="B559" s="35" t="n"/>
      <c r="C559" s="35" t="n"/>
      <c r="D559" s="35" t="n"/>
      <c r="E559" s="36" t="n"/>
      <c r="F559" s="37">
        <f>IF($A559="","",TEXT($A559,"yyyy-mm"))</f>
        <v/>
      </c>
      <c r="G559" s="38" t="n"/>
      <c r="H559" s="37" t="n"/>
    </row>
    <row r="560">
      <c r="A560" s="34" t="n"/>
      <c r="B560" s="35" t="n"/>
      <c r="C560" s="35" t="n"/>
      <c r="D560" s="35" t="n"/>
      <c r="E560" s="36" t="n"/>
      <c r="F560" s="37">
        <f>IF($A560="","",TEXT($A560,"yyyy-mm"))</f>
        <v/>
      </c>
      <c r="G560" s="38" t="n"/>
      <c r="H560" s="37" t="n"/>
    </row>
    <row r="561">
      <c r="A561" s="34" t="n"/>
      <c r="B561" s="35" t="n"/>
      <c r="C561" s="35" t="n"/>
      <c r="D561" s="35" t="n"/>
      <c r="E561" s="36" t="n"/>
      <c r="F561" s="37">
        <f>IF($A561="","",TEXT($A561,"yyyy-mm"))</f>
        <v/>
      </c>
      <c r="G561" s="38" t="n"/>
      <c r="H561" s="37" t="n"/>
    </row>
    <row r="562">
      <c r="A562" s="34" t="n"/>
      <c r="B562" s="35" t="n"/>
      <c r="C562" s="35" t="n"/>
      <c r="D562" s="35" t="n"/>
      <c r="E562" s="36" t="n"/>
      <c r="F562" s="37">
        <f>IF($A562="","",TEXT($A562,"yyyy-mm"))</f>
        <v/>
      </c>
      <c r="G562" s="38" t="n"/>
      <c r="H562" s="37" t="n"/>
    </row>
    <row r="563">
      <c r="A563" s="34" t="n"/>
      <c r="B563" s="35" t="n"/>
      <c r="C563" s="35" t="n"/>
      <c r="D563" s="35" t="n"/>
      <c r="E563" s="36" t="n"/>
      <c r="F563" s="37">
        <f>IF($A563="","",TEXT($A563,"yyyy-mm"))</f>
        <v/>
      </c>
      <c r="G563" s="38" t="n"/>
      <c r="H563" s="37" t="n"/>
    </row>
    <row r="564">
      <c r="A564" s="34" t="n"/>
      <c r="B564" s="35" t="n"/>
      <c r="C564" s="35" t="n"/>
      <c r="D564" s="35" t="n"/>
      <c r="E564" s="36" t="n"/>
      <c r="F564" s="37">
        <f>IF($A564="","",TEXT($A564,"yyyy-mm"))</f>
        <v/>
      </c>
      <c r="G564" s="38" t="n"/>
      <c r="H564" s="37" t="n"/>
    </row>
    <row r="565">
      <c r="A565" s="34" t="n"/>
      <c r="B565" s="35" t="n"/>
      <c r="C565" s="35" t="n"/>
      <c r="D565" s="35" t="n"/>
      <c r="E565" s="36" t="n"/>
      <c r="F565" s="37">
        <f>IF($A565="","",TEXT($A565,"yyyy-mm"))</f>
        <v/>
      </c>
      <c r="G565" s="38" t="n"/>
      <c r="H565" s="37" t="n"/>
    </row>
    <row r="566">
      <c r="A566" s="34" t="n"/>
      <c r="B566" s="35" t="n"/>
      <c r="C566" s="35" t="n"/>
      <c r="D566" s="35" t="n"/>
      <c r="E566" s="36" t="n"/>
      <c r="F566" s="37">
        <f>IF($A566="","",TEXT($A566,"yyyy-mm"))</f>
        <v/>
      </c>
      <c r="G566" s="38" t="n"/>
      <c r="H566" s="37" t="n"/>
    </row>
    <row r="567">
      <c r="A567" s="34" t="n"/>
      <c r="B567" s="35" t="n"/>
      <c r="C567" s="35" t="n"/>
      <c r="D567" s="35" t="n"/>
      <c r="E567" s="36" t="n"/>
      <c r="F567" s="37">
        <f>IF($A567="","",TEXT($A567,"yyyy-mm"))</f>
        <v/>
      </c>
      <c r="G567" s="38" t="n"/>
      <c r="H567" s="37" t="n"/>
    </row>
    <row r="568">
      <c r="A568" s="34" t="n"/>
      <c r="B568" s="35" t="n"/>
      <c r="C568" s="35" t="n"/>
      <c r="D568" s="35" t="n"/>
      <c r="E568" s="36" t="n"/>
      <c r="F568" s="37">
        <f>IF($A568="","",TEXT($A568,"yyyy-mm"))</f>
        <v/>
      </c>
      <c r="G568" s="38" t="n"/>
      <c r="H568" s="37" t="n"/>
    </row>
    <row r="569">
      <c r="A569" s="34" t="n"/>
      <c r="B569" s="35" t="n"/>
      <c r="C569" s="35" t="n"/>
      <c r="D569" s="35" t="n"/>
      <c r="E569" s="36" t="n"/>
      <c r="F569" s="37">
        <f>IF($A569="","",TEXT($A569,"yyyy-mm"))</f>
        <v/>
      </c>
      <c r="G569" s="38" t="n"/>
      <c r="H569" s="37" t="n"/>
    </row>
    <row r="570">
      <c r="A570" s="34" t="n"/>
      <c r="B570" s="35" t="n"/>
      <c r="C570" s="35" t="n"/>
      <c r="D570" s="35" t="n"/>
      <c r="E570" s="36" t="n"/>
      <c r="F570" s="37">
        <f>IF($A570="","",TEXT($A570,"yyyy-mm"))</f>
        <v/>
      </c>
      <c r="G570" s="38" t="n"/>
      <c r="H570" s="37" t="n"/>
    </row>
    <row r="571">
      <c r="A571" s="34" t="n"/>
      <c r="B571" s="35" t="n"/>
      <c r="C571" s="35" t="n"/>
      <c r="D571" s="35" t="n"/>
      <c r="E571" s="36" t="n"/>
      <c r="F571" s="37">
        <f>IF($A571="","",TEXT($A571,"yyyy-mm"))</f>
        <v/>
      </c>
      <c r="G571" s="38" t="n"/>
      <c r="H571" s="37" t="n"/>
    </row>
    <row r="572">
      <c r="A572" s="34" t="n"/>
      <c r="B572" s="35" t="n"/>
      <c r="C572" s="35" t="n"/>
      <c r="D572" s="35" t="n"/>
      <c r="E572" s="36" t="n"/>
      <c r="F572" s="37">
        <f>IF($A572="","",TEXT($A572,"yyyy-mm"))</f>
        <v/>
      </c>
      <c r="G572" s="38" t="n"/>
      <c r="H572" s="37" t="n"/>
    </row>
    <row r="573">
      <c r="A573" s="34" t="n"/>
      <c r="B573" s="35" t="n"/>
      <c r="C573" s="35" t="n"/>
      <c r="D573" s="35" t="n"/>
      <c r="E573" s="36" t="n"/>
      <c r="F573" s="37">
        <f>IF($A573="","",TEXT($A573,"yyyy-mm"))</f>
        <v/>
      </c>
      <c r="G573" s="38" t="n"/>
      <c r="H573" s="37" t="n"/>
    </row>
    <row r="574">
      <c r="A574" s="34" t="n"/>
      <c r="B574" s="35" t="n"/>
      <c r="C574" s="35" t="n"/>
      <c r="D574" s="35" t="n"/>
      <c r="E574" s="36" t="n"/>
      <c r="F574" s="37">
        <f>IF($A574="","",TEXT($A574,"yyyy-mm"))</f>
        <v/>
      </c>
      <c r="G574" s="38" t="n"/>
      <c r="H574" s="37" t="n"/>
    </row>
    <row r="575">
      <c r="A575" s="34" t="n"/>
      <c r="B575" s="35" t="n"/>
      <c r="C575" s="35" t="n"/>
      <c r="D575" s="35" t="n"/>
      <c r="E575" s="36" t="n"/>
      <c r="F575" s="37">
        <f>IF($A575="","",TEXT($A575,"yyyy-mm"))</f>
        <v/>
      </c>
      <c r="G575" s="38" t="n"/>
      <c r="H575" s="37" t="n"/>
    </row>
    <row r="576">
      <c r="A576" s="34" t="n"/>
      <c r="B576" s="35" t="n"/>
      <c r="C576" s="35" t="n"/>
      <c r="D576" s="35" t="n"/>
      <c r="E576" s="36" t="n"/>
      <c r="F576" s="37">
        <f>IF($A576="","",TEXT($A576,"yyyy-mm"))</f>
        <v/>
      </c>
      <c r="G576" s="38" t="n"/>
      <c r="H576" s="37" t="n"/>
    </row>
    <row r="577">
      <c r="A577" s="34" t="n"/>
      <c r="B577" s="35" t="n"/>
      <c r="C577" s="35" t="n"/>
      <c r="D577" s="35" t="n"/>
      <c r="E577" s="36" t="n"/>
      <c r="F577" s="37">
        <f>IF($A577="","",TEXT($A577,"yyyy-mm"))</f>
        <v/>
      </c>
      <c r="G577" s="38" t="n"/>
      <c r="H577" s="37" t="n"/>
    </row>
    <row r="578">
      <c r="A578" s="34" t="n"/>
      <c r="B578" s="35" t="n"/>
      <c r="C578" s="35" t="n"/>
      <c r="D578" s="35" t="n"/>
      <c r="E578" s="36" t="n"/>
      <c r="F578" s="37">
        <f>IF($A578="","",TEXT($A578,"yyyy-mm"))</f>
        <v/>
      </c>
      <c r="G578" s="38" t="n"/>
      <c r="H578" s="37" t="n"/>
    </row>
    <row r="579">
      <c r="A579" s="34" t="n"/>
      <c r="B579" s="35" t="n"/>
      <c r="C579" s="35" t="n"/>
      <c r="D579" s="35" t="n"/>
      <c r="E579" s="36" t="n"/>
      <c r="F579" s="37">
        <f>IF($A579="","",TEXT($A579,"yyyy-mm"))</f>
        <v/>
      </c>
      <c r="G579" s="38" t="n"/>
      <c r="H579" s="37" t="n"/>
    </row>
    <row r="580">
      <c r="A580" s="34" t="n"/>
      <c r="B580" s="35" t="n"/>
      <c r="C580" s="35" t="n"/>
      <c r="D580" s="35" t="n"/>
      <c r="E580" s="36" t="n"/>
      <c r="F580" s="37">
        <f>IF($A580="","",TEXT($A580,"yyyy-mm"))</f>
        <v/>
      </c>
      <c r="G580" s="38" t="n"/>
      <c r="H580" s="37" t="n"/>
    </row>
    <row r="581">
      <c r="A581" s="34" t="n"/>
      <c r="B581" s="35" t="n"/>
      <c r="C581" s="35" t="n"/>
      <c r="D581" s="35" t="n"/>
      <c r="E581" s="36" t="n"/>
      <c r="F581" s="37">
        <f>IF($A581="","",TEXT($A581,"yyyy-mm"))</f>
        <v/>
      </c>
      <c r="G581" s="38" t="n"/>
      <c r="H581" s="37" t="n"/>
    </row>
    <row r="582">
      <c r="A582" s="34" t="n"/>
      <c r="B582" s="35" t="n"/>
      <c r="C582" s="35" t="n"/>
      <c r="D582" s="35" t="n"/>
      <c r="E582" s="36" t="n"/>
      <c r="F582" s="37">
        <f>IF($A582="","",TEXT($A582,"yyyy-mm"))</f>
        <v/>
      </c>
      <c r="G582" s="38" t="n"/>
      <c r="H582" s="37" t="n"/>
    </row>
    <row r="583">
      <c r="A583" s="34" t="n"/>
      <c r="B583" s="35" t="n"/>
      <c r="C583" s="35" t="n"/>
      <c r="D583" s="35" t="n"/>
      <c r="E583" s="36" t="n"/>
      <c r="F583" s="37">
        <f>IF($A583="","",TEXT($A583,"yyyy-mm"))</f>
        <v/>
      </c>
      <c r="G583" s="38" t="n"/>
      <c r="H583" s="37" t="n"/>
    </row>
    <row r="584">
      <c r="A584" s="34" t="n"/>
      <c r="B584" s="35" t="n"/>
      <c r="C584" s="35" t="n"/>
      <c r="D584" s="35" t="n"/>
      <c r="E584" s="36" t="n"/>
      <c r="F584" s="37">
        <f>IF($A584="","",TEXT($A584,"yyyy-mm"))</f>
        <v/>
      </c>
      <c r="G584" s="38" t="n"/>
      <c r="H584" s="37" t="n"/>
    </row>
    <row r="585">
      <c r="A585" s="34" t="n"/>
      <c r="B585" s="35" t="n"/>
      <c r="C585" s="35" t="n"/>
      <c r="D585" s="35" t="n"/>
      <c r="E585" s="36" t="n"/>
      <c r="F585" s="37">
        <f>IF($A585="","",TEXT($A585,"yyyy-mm"))</f>
        <v/>
      </c>
      <c r="G585" s="38" t="n"/>
      <c r="H585" s="37" t="n"/>
    </row>
    <row r="586">
      <c r="A586" s="34" t="n"/>
      <c r="B586" s="35" t="n"/>
      <c r="C586" s="35" t="n"/>
      <c r="D586" s="35" t="n"/>
      <c r="E586" s="36" t="n"/>
      <c r="F586" s="37">
        <f>IF($A586="","",TEXT($A586,"yyyy-mm"))</f>
        <v/>
      </c>
      <c r="G586" s="38" t="n"/>
      <c r="H586" s="37" t="n"/>
    </row>
    <row r="587">
      <c r="A587" s="34" t="n"/>
      <c r="B587" s="35" t="n"/>
      <c r="C587" s="35" t="n"/>
      <c r="D587" s="35" t="n"/>
      <c r="E587" s="36" t="n"/>
      <c r="F587" s="37">
        <f>IF($A587="","",TEXT($A587,"yyyy-mm"))</f>
        <v/>
      </c>
      <c r="G587" s="38" t="n"/>
      <c r="H587" s="37" t="n"/>
    </row>
    <row r="588">
      <c r="A588" s="34" t="n"/>
      <c r="B588" s="35" t="n"/>
      <c r="C588" s="35" t="n"/>
      <c r="D588" s="35" t="n"/>
      <c r="E588" s="36" t="n"/>
      <c r="F588" s="37">
        <f>IF($A588="","",TEXT($A588,"yyyy-mm"))</f>
        <v/>
      </c>
      <c r="G588" s="38" t="n"/>
      <c r="H588" s="37" t="n"/>
    </row>
    <row r="589">
      <c r="A589" s="34" t="n"/>
      <c r="B589" s="35" t="n"/>
      <c r="C589" s="35" t="n"/>
      <c r="D589" s="35" t="n"/>
      <c r="E589" s="36" t="n"/>
      <c r="F589" s="37">
        <f>IF($A589="","",TEXT($A589,"yyyy-mm"))</f>
        <v/>
      </c>
      <c r="G589" s="38" t="n"/>
      <c r="H589" s="37" t="n"/>
    </row>
    <row r="590">
      <c r="A590" s="34" t="n"/>
      <c r="B590" s="35" t="n"/>
      <c r="C590" s="35" t="n"/>
      <c r="D590" s="35" t="n"/>
      <c r="E590" s="36" t="n"/>
      <c r="F590" s="37">
        <f>IF($A590="","",TEXT($A590,"yyyy-mm"))</f>
        <v/>
      </c>
      <c r="G590" s="38" t="n"/>
      <c r="H590" s="37" t="n"/>
    </row>
    <row r="591">
      <c r="A591" s="34" t="n"/>
      <c r="B591" s="35" t="n"/>
      <c r="C591" s="35" t="n"/>
      <c r="D591" s="35" t="n"/>
      <c r="E591" s="36" t="n"/>
      <c r="F591" s="37">
        <f>IF($A591="","",TEXT($A591,"yyyy-mm"))</f>
        <v/>
      </c>
      <c r="G591" s="38" t="n"/>
      <c r="H591" s="37" t="n"/>
    </row>
    <row r="592">
      <c r="A592" s="34" t="n"/>
      <c r="B592" s="35" t="n"/>
      <c r="C592" s="35" t="n"/>
      <c r="D592" s="35" t="n"/>
      <c r="E592" s="36" t="n"/>
      <c r="F592" s="37">
        <f>IF($A592="","",TEXT($A592,"yyyy-mm"))</f>
        <v/>
      </c>
      <c r="G592" s="38" t="n"/>
      <c r="H592" s="37" t="n"/>
    </row>
    <row r="593">
      <c r="A593" s="34" t="n"/>
      <c r="B593" s="35" t="n"/>
      <c r="C593" s="35" t="n"/>
      <c r="D593" s="35" t="n"/>
      <c r="E593" s="36" t="n"/>
      <c r="F593" s="37">
        <f>IF($A593="","",TEXT($A593,"yyyy-mm"))</f>
        <v/>
      </c>
      <c r="G593" s="38" t="n"/>
      <c r="H593" s="37" t="n"/>
    </row>
    <row r="594">
      <c r="A594" s="34" t="n"/>
      <c r="B594" s="35" t="n"/>
      <c r="C594" s="35" t="n"/>
      <c r="D594" s="35" t="n"/>
      <c r="E594" s="36" t="n"/>
      <c r="F594" s="37">
        <f>IF($A594="","",TEXT($A594,"yyyy-mm"))</f>
        <v/>
      </c>
      <c r="G594" s="38" t="n"/>
      <c r="H594" s="37" t="n"/>
    </row>
    <row r="595">
      <c r="A595" s="34" t="n"/>
      <c r="B595" s="35" t="n"/>
      <c r="C595" s="35" t="n"/>
      <c r="D595" s="35" t="n"/>
      <c r="E595" s="36" t="n"/>
      <c r="F595" s="37">
        <f>IF($A595="","",TEXT($A595,"yyyy-mm"))</f>
        <v/>
      </c>
      <c r="G595" s="38" t="n"/>
      <c r="H595" s="37" t="n"/>
    </row>
    <row r="596">
      <c r="A596" s="34" t="n"/>
      <c r="B596" s="35" t="n"/>
      <c r="C596" s="35" t="n"/>
      <c r="D596" s="35" t="n"/>
      <c r="E596" s="36" t="n"/>
      <c r="F596" s="37">
        <f>IF($A596="","",TEXT($A596,"yyyy-mm"))</f>
        <v/>
      </c>
      <c r="G596" s="38" t="n"/>
      <c r="H596" s="37" t="n"/>
    </row>
    <row r="597">
      <c r="A597" s="34" t="n"/>
      <c r="B597" s="35" t="n"/>
      <c r="C597" s="35" t="n"/>
      <c r="D597" s="35" t="n"/>
      <c r="E597" s="36" t="n"/>
      <c r="F597" s="37">
        <f>IF($A597="","",TEXT($A597,"yyyy-mm"))</f>
        <v/>
      </c>
      <c r="G597" s="38" t="n"/>
      <c r="H597" s="37" t="n"/>
    </row>
    <row r="598">
      <c r="A598" s="34" t="n"/>
      <c r="B598" s="35" t="n"/>
      <c r="C598" s="35" t="n"/>
      <c r="D598" s="35" t="n"/>
      <c r="E598" s="36" t="n"/>
      <c r="F598" s="37">
        <f>IF($A598="","",TEXT($A598,"yyyy-mm"))</f>
        <v/>
      </c>
      <c r="G598" s="38" t="n"/>
      <c r="H598" s="37" t="n"/>
    </row>
    <row r="599">
      <c r="A599" s="34" t="n"/>
      <c r="B599" s="35" t="n"/>
      <c r="C599" s="35" t="n"/>
      <c r="D599" s="35" t="n"/>
      <c r="E599" s="36" t="n"/>
      <c r="F599" s="37">
        <f>IF($A599="","",TEXT($A599,"yyyy-mm"))</f>
        <v/>
      </c>
      <c r="G599" s="38" t="n"/>
      <c r="H599" s="37" t="n"/>
    </row>
    <row r="600">
      <c r="A600" s="34" t="n"/>
      <c r="B600" s="35" t="n"/>
      <c r="C600" s="35" t="n"/>
      <c r="D600" s="35" t="n"/>
      <c r="E600" s="36" t="n"/>
      <c r="F600" s="37">
        <f>IF($A600="","",TEXT($A600,"yyyy-mm"))</f>
        <v/>
      </c>
      <c r="G600" s="38" t="n"/>
      <c r="H600" s="37" t="n"/>
    </row>
    <row r="601">
      <c r="A601" s="34" t="n"/>
      <c r="B601" s="35" t="n"/>
      <c r="C601" s="35" t="n"/>
      <c r="D601" s="35" t="n"/>
      <c r="E601" s="36" t="n"/>
      <c r="F601" s="37">
        <f>IF($A601="","",TEXT($A601,"yyyy-mm"))</f>
        <v/>
      </c>
      <c r="G601" s="38" t="n"/>
      <c r="H601" s="37" t="n"/>
    </row>
    <row r="602">
      <c r="A602" s="34" t="n"/>
      <c r="B602" s="35" t="n"/>
      <c r="C602" s="35" t="n"/>
      <c r="D602" s="35" t="n"/>
      <c r="E602" s="36" t="n"/>
      <c r="F602" s="37">
        <f>IF($A602="","",TEXT($A602,"yyyy-mm"))</f>
        <v/>
      </c>
      <c r="G602" s="38" t="n"/>
      <c r="H602" s="37" t="n"/>
    </row>
    <row r="603">
      <c r="A603" s="34" t="n"/>
      <c r="B603" s="35" t="n"/>
      <c r="C603" s="35" t="n"/>
      <c r="D603" s="35" t="n"/>
      <c r="E603" s="36" t="n"/>
      <c r="F603" s="37">
        <f>IF($A603="","",TEXT($A603,"yyyy-mm"))</f>
        <v/>
      </c>
      <c r="G603" s="38" t="n"/>
      <c r="H603" s="37" t="n"/>
    </row>
    <row r="604">
      <c r="A604" s="34" t="n"/>
      <c r="B604" s="35" t="n"/>
      <c r="C604" s="35" t="n"/>
      <c r="D604" s="35" t="n"/>
      <c r="E604" s="36" t="n"/>
      <c r="F604" s="37">
        <f>IF($A604="","",TEXT($A604,"yyyy-mm"))</f>
        <v/>
      </c>
      <c r="G604" s="38" t="n"/>
      <c r="H604" s="37" t="n"/>
    </row>
    <row r="605">
      <c r="A605" s="34" t="n"/>
      <c r="B605" s="35" t="n"/>
      <c r="C605" s="35" t="n"/>
      <c r="D605" s="35" t="n"/>
      <c r="E605" s="36" t="n"/>
      <c r="F605" s="37">
        <f>IF($A605="","",TEXT($A605,"yyyy-mm"))</f>
        <v/>
      </c>
      <c r="G605" s="38" t="n"/>
      <c r="H605" s="37" t="n"/>
    </row>
    <row r="606">
      <c r="A606" s="34" t="n"/>
      <c r="B606" s="35" t="n"/>
      <c r="C606" s="35" t="n"/>
      <c r="D606" s="35" t="n"/>
      <c r="E606" s="36" t="n"/>
      <c r="F606" s="37">
        <f>IF($A606="","",TEXT($A606,"yyyy-mm"))</f>
        <v/>
      </c>
      <c r="G606" s="38" t="n"/>
      <c r="H606" s="37" t="n"/>
    </row>
    <row r="607">
      <c r="A607" s="34" t="n"/>
      <c r="B607" s="35" t="n"/>
      <c r="C607" s="35" t="n"/>
      <c r="D607" s="35" t="n"/>
      <c r="E607" s="36" t="n"/>
      <c r="F607" s="37">
        <f>IF($A607="","",TEXT($A607,"yyyy-mm"))</f>
        <v/>
      </c>
      <c r="G607" s="38" t="n"/>
      <c r="H607" s="37" t="n"/>
    </row>
    <row r="608">
      <c r="A608" s="34" t="n"/>
      <c r="B608" s="35" t="n"/>
      <c r="C608" s="35" t="n"/>
      <c r="D608" s="35" t="n"/>
      <c r="E608" s="36" t="n"/>
      <c r="F608" s="37">
        <f>IF($A608="","",TEXT($A608,"yyyy-mm"))</f>
        <v/>
      </c>
      <c r="G608" s="38" t="n"/>
      <c r="H608" s="37" t="n"/>
    </row>
    <row r="609">
      <c r="A609" s="34" t="n"/>
      <c r="B609" s="35" t="n"/>
      <c r="C609" s="35" t="n"/>
      <c r="D609" s="35" t="n"/>
      <c r="E609" s="36" t="n"/>
      <c r="F609" s="37">
        <f>IF($A609="","",TEXT($A609,"yyyy-mm"))</f>
        <v/>
      </c>
      <c r="G609" s="38" t="n"/>
      <c r="H609" s="37" t="n"/>
    </row>
    <row r="610">
      <c r="A610" s="34" t="n"/>
      <c r="B610" s="35" t="n"/>
      <c r="C610" s="35" t="n"/>
      <c r="D610" s="35" t="n"/>
      <c r="E610" s="36" t="n"/>
      <c r="F610" s="37">
        <f>IF($A610="","",TEXT($A610,"yyyy-mm"))</f>
        <v/>
      </c>
      <c r="G610" s="38" t="n"/>
      <c r="H610" s="37" t="n"/>
    </row>
    <row r="611">
      <c r="A611" s="34" t="n"/>
      <c r="B611" s="35" t="n"/>
      <c r="C611" s="35" t="n"/>
      <c r="D611" s="35" t="n"/>
      <c r="E611" s="36" t="n"/>
      <c r="F611" s="37">
        <f>IF($A611="","",TEXT($A611,"yyyy-mm"))</f>
        <v/>
      </c>
      <c r="G611" s="38" t="n"/>
      <c r="H611" s="37" t="n"/>
    </row>
    <row r="612">
      <c r="A612" s="34" t="n"/>
      <c r="B612" s="35" t="n"/>
      <c r="C612" s="35" t="n"/>
      <c r="D612" s="35" t="n"/>
      <c r="E612" s="36" t="n"/>
      <c r="F612" s="37">
        <f>IF($A612="","",TEXT($A612,"yyyy-mm"))</f>
        <v/>
      </c>
      <c r="G612" s="38" t="n"/>
      <c r="H612" s="37" t="n"/>
    </row>
    <row r="613">
      <c r="A613" s="34" t="n"/>
      <c r="B613" s="35" t="n"/>
      <c r="C613" s="35" t="n"/>
      <c r="D613" s="35" t="n"/>
      <c r="E613" s="36" t="n"/>
      <c r="F613" s="37">
        <f>IF($A613="","",TEXT($A613,"yyyy-mm"))</f>
        <v/>
      </c>
      <c r="G613" s="38" t="n"/>
      <c r="H613" s="37" t="n"/>
    </row>
    <row r="614">
      <c r="A614" s="34" t="n"/>
      <c r="B614" s="35" t="n"/>
      <c r="C614" s="35" t="n"/>
      <c r="D614" s="35" t="n"/>
      <c r="E614" s="36" t="n"/>
      <c r="F614" s="37">
        <f>IF($A614="","",TEXT($A614,"yyyy-mm"))</f>
        <v/>
      </c>
      <c r="G614" s="38" t="n"/>
      <c r="H614" s="37" t="n"/>
    </row>
    <row r="615">
      <c r="A615" s="34" t="n"/>
      <c r="B615" s="35" t="n"/>
      <c r="C615" s="35" t="n"/>
      <c r="D615" s="35" t="n"/>
      <c r="E615" s="36" t="n"/>
      <c r="F615" s="37">
        <f>IF($A615="","",TEXT($A615,"yyyy-mm"))</f>
        <v/>
      </c>
      <c r="G615" s="38" t="n"/>
      <c r="H615" s="37" t="n"/>
    </row>
    <row r="616">
      <c r="A616" s="34" t="n"/>
      <c r="B616" s="35" t="n"/>
      <c r="C616" s="35" t="n"/>
      <c r="D616" s="35" t="n"/>
      <c r="E616" s="36" t="n"/>
      <c r="F616" s="37">
        <f>IF($A616="","",TEXT($A616,"yyyy-mm"))</f>
        <v/>
      </c>
      <c r="G616" s="38" t="n"/>
      <c r="H616" s="37" t="n"/>
    </row>
    <row r="617">
      <c r="A617" s="34" t="n"/>
      <c r="B617" s="35" t="n"/>
      <c r="C617" s="35" t="n"/>
      <c r="D617" s="35" t="n"/>
      <c r="E617" s="36" t="n"/>
      <c r="F617" s="37">
        <f>IF($A617="","",TEXT($A617,"yyyy-mm"))</f>
        <v/>
      </c>
      <c r="G617" s="38" t="n"/>
      <c r="H617" s="37" t="n"/>
    </row>
    <row r="618">
      <c r="A618" s="34" t="n"/>
      <c r="B618" s="35" t="n"/>
      <c r="C618" s="35" t="n"/>
      <c r="D618" s="35" t="n"/>
      <c r="E618" s="36" t="n"/>
      <c r="F618" s="37">
        <f>IF($A618="","",TEXT($A618,"yyyy-mm"))</f>
        <v/>
      </c>
      <c r="G618" s="38" t="n"/>
      <c r="H618" s="37" t="n"/>
    </row>
    <row r="619">
      <c r="A619" s="34" t="n"/>
      <c r="B619" s="35" t="n"/>
      <c r="C619" s="35" t="n"/>
      <c r="D619" s="35" t="n"/>
      <c r="E619" s="36" t="n"/>
      <c r="F619" s="37">
        <f>IF($A619="","",TEXT($A619,"yyyy-mm"))</f>
        <v/>
      </c>
      <c r="G619" s="38" t="n"/>
      <c r="H619" s="37" t="n"/>
    </row>
    <row r="620">
      <c r="A620" s="34" t="n"/>
      <c r="B620" s="35" t="n"/>
      <c r="C620" s="35" t="n"/>
      <c r="D620" s="35" t="n"/>
      <c r="E620" s="36" t="n"/>
      <c r="F620" s="37">
        <f>IF($A620="","",TEXT($A620,"yyyy-mm"))</f>
        <v/>
      </c>
      <c r="G620" s="38" t="n"/>
      <c r="H620" s="37" t="n"/>
    </row>
    <row r="621">
      <c r="A621" s="34" t="n"/>
      <c r="B621" s="35" t="n"/>
      <c r="C621" s="35" t="n"/>
      <c r="D621" s="35" t="n"/>
      <c r="E621" s="36" t="n"/>
      <c r="F621" s="37">
        <f>IF($A621="","",TEXT($A621,"yyyy-mm"))</f>
        <v/>
      </c>
      <c r="G621" s="38" t="n"/>
      <c r="H621" s="37" t="n"/>
    </row>
    <row r="622">
      <c r="A622" s="34" t="n"/>
      <c r="B622" s="35" t="n"/>
      <c r="C622" s="35" t="n"/>
      <c r="D622" s="35" t="n"/>
      <c r="E622" s="36" t="n"/>
      <c r="F622" s="37">
        <f>IF($A622="","",TEXT($A622,"yyyy-mm"))</f>
        <v/>
      </c>
      <c r="G622" s="38" t="n"/>
      <c r="H622" s="37" t="n"/>
    </row>
    <row r="623">
      <c r="A623" s="34" t="n"/>
      <c r="B623" s="35" t="n"/>
      <c r="C623" s="35" t="n"/>
      <c r="D623" s="35" t="n"/>
      <c r="E623" s="36" t="n"/>
      <c r="F623" s="37">
        <f>IF($A623="","",TEXT($A623,"yyyy-mm"))</f>
        <v/>
      </c>
      <c r="G623" s="38" t="n"/>
      <c r="H623" s="37" t="n"/>
    </row>
    <row r="624">
      <c r="A624" s="34" t="n"/>
      <c r="B624" s="35" t="n"/>
      <c r="C624" s="35" t="n"/>
      <c r="D624" s="35" t="n"/>
      <c r="E624" s="36" t="n"/>
      <c r="F624" s="37">
        <f>IF($A624="","",TEXT($A624,"yyyy-mm"))</f>
        <v/>
      </c>
      <c r="G624" s="38" t="n"/>
      <c r="H624" s="37" t="n"/>
    </row>
    <row r="625">
      <c r="A625" s="34" t="n"/>
      <c r="B625" s="35" t="n"/>
      <c r="C625" s="35" t="n"/>
      <c r="D625" s="35" t="n"/>
      <c r="E625" s="36" t="n"/>
      <c r="F625" s="37">
        <f>IF($A625="","",TEXT($A625,"yyyy-mm"))</f>
        <v/>
      </c>
      <c r="G625" s="38" t="n"/>
      <c r="H625" s="37" t="n"/>
    </row>
    <row r="626">
      <c r="A626" s="34" t="n"/>
      <c r="B626" s="35" t="n"/>
      <c r="C626" s="35" t="n"/>
      <c r="D626" s="35" t="n"/>
      <c r="E626" s="36" t="n"/>
      <c r="F626" s="37">
        <f>IF($A626="","",TEXT($A626,"yyyy-mm"))</f>
        <v/>
      </c>
      <c r="G626" s="38" t="n"/>
      <c r="H626" s="37" t="n"/>
    </row>
    <row r="627">
      <c r="A627" s="34" t="n"/>
      <c r="B627" s="35" t="n"/>
      <c r="C627" s="35" t="n"/>
      <c r="D627" s="35" t="n"/>
      <c r="E627" s="36" t="n"/>
      <c r="F627" s="37">
        <f>IF($A627="","",TEXT($A627,"yyyy-mm"))</f>
        <v/>
      </c>
      <c r="G627" s="38" t="n"/>
      <c r="H627" s="37" t="n"/>
    </row>
    <row r="628">
      <c r="A628" s="34" t="n"/>
      <c r="B628" s="35" t="n"/>
      <c r="C628" s="35" t="n"/>
      <c r="D628" s="35" t="n"/>
      <c r="E628" s="36" t="n"/>
      <c r="F628" s="37">
        <f>IF($A628="","",TEXT($A628,"yyyy-mm"))</f>
        <v/>
      </c>
      <c r="G628" s="38" t="n"/>
      <c r="H628" s="37" t="n"/>
    </row>
    <row r="629">
      <c r="A629" s="34" t="n"/>
      <c r="B629" s="35" t="n"/>
      <c r="C629" s="35" t="n"/>
      <c r="D629" s="35" t="n"/>
      <c r="E629" s="36" t="n"/>
      <c r="F629" s="37">
        <f>IF($A629="","",TEXT($A629,"yyyy-mm"))</f>
        <v/>
      </c>
      <c r="G629" s="38" t="n"/>
      <c r="H629" s="37" t="n"/>
    </row>
    <row r="630">
      <c r="A630" s="34" t="n"/>
      <c r="B630" s="35" t="n"/>
      <c r="C630" s="35" t="n"/>
      <c r="D630" s="35" t="n"/>
      <c r="E630" s="36" t="n"/>
      <c r="F630" s="37">
        <f>IF($A630="","",TEXT($A630,"yyyy-mm"))</f>
        <v/>
      </c>
      <c r="G630" s="38" t="n"/>
      <c r="H630" s="37" t="n"/>
    </row>
    <row r="631">
      <c r="A631" s="34" t="n"/>
      <c r="B631" s="35" t="n"/>
      <c r="C631" s="35" t="n"/>
      <c r="D631" s="35" t="n"/>
      <c r="E631" s="36" t="n"/>
      <c r="F631" s="37">
        <f>IF($A631="","",TEXT($A631,"yyyy-mm"))</f>
        <v/>
      </c>
      <c r="G631" s="38" t="n"/>
      <c r="H631" s="37" t="n"/>
    </row>
    <row r="632">
      <c r="A632" s="34" t="n"/>
      <c r="B632" s="35" t="n"/>
      <c r="C632" s="35" t="n"/>
      <c r="D632" s="35" t="n"/>
      <c r="E632" s="36" t="n"/>
      <c r="F632" s="37">
        <f>IF($A632="","",TEXT($A632,"yyyy-mm"))</f>
        <v/>
      </c>
      <c r="G632" s="38" t="n"/>
      <c r="H632" s="37" t="n"/>
    </row>
    <row r="633">
      <c r="A633" s="34" t="n"/>
      <c r="B633" s="35" t="n"/>
      <c r="C633" s="35" t="n"/>
      <c r="D633" s="35" t="n"/>
      <c r="E633" s="36" t="n"/>
      <c r="F633" s="37">
        <f>IF($A633="","",TEXT($A633,"yyyy-mm"))</f>
        <v/>
      </c>
      <c r="G633" s="38" t="n"/>
      <c r="H633" s="37" t="n"/>
    </row>
    <row r="634">
      <c r="A634" s="34" t="n"/>
      <c r="B634" s="35" t="n"/>
      <c r="C634" s="35" t="n"/>
      <c r="D634" s="35" t="n"/>
      <c r="E634" s="36" t="n"/>
      <c r="F634" s="37">
        <f>IF($A634="","",TEXT($A634,"yyyy-mm"))</f>
        <v/>
      </c>
      <c r="G634" s="38" t="n"/>
      <c r="H634" s="37" t="n"/>
    </row>
    <row r="635">
      <c r="A635" s="34" t="n"/>
      <c r="B635" s="35" t="n"/>
      <c r="C635" s="35" t="n"/>
      <c r="D635" s="35" t="n"/>
      <c r="E635" s="36" t="n"/>
      <c r="F635" s="37">
        <f>IF($A635="","",TEXT($A635,"yyyy-mm"))</f>
        <v/>
      </c>
      <c r="G635" s="38" t="n"/>
      <c r="H635" s="37" t="n"/>
    </row>
    <row r="636">
      <c r="A636" s="34" t="n"/>
      <c r="B636" s="35" t="n"/>
      <c r="C636" s="35" t="n"/>
      <c r="D636" s="35" t="n"/>
      <c r="E636" s="36" t="n"/>
      <c r="F636" s="37">
        <f>IF($A636="","",TEXT($A636,"yyyy-mm"))</f>
        <v/>
      </c>
      <c r="G636" s="38" t="n"/>
      <c r="H636" s="37" t="n"/>
    </row>
    <row r="637">
      <c r="A637" s="34" t="n"/>
      <c r="B637" s="35" t="n"/>
      <c r="C637" s="35" t="n"/>
      <c r="D637" s="35" t="n"/>
      <c r="E637" s="36" t="n"/>
      <c r="F637" s="37">
        <f>IF($A637="","",TEXT($A637,"yyyy-mm"))</f>
        <v/>
      </c>
      <c r="G637" s="38" t="n"/>
      <c r="H637" s="37" t="n"/>
    </row>
    <row r="638">
      <c r="A638" s="34" t="n"/>
      <c r="B638" s="35" t="n"/>
      <c r="C638" s="35" t="n"/>
      <c r="D638" s="35" t="n"/>
      <c r="E638" s="36" t="n"/>
      <c r="F638" s="37">
        <f>IF($A638="","",TEXT($A638,"yyyy-mm"))</f>
        <v/>
      </c>
      <c r="G638" s="38" t="n"/>
      <c r="H638" s="37" t="n"/>
    </row>
    <row r="639">
      <c r="A639" s="34" t="n"/>
      <c r="B639" s="35" t="n"/>
      <c r="C639" s="35" t="n"/>
      <c r="D639" s="35" t="n"/>
      <c r="E639" s="36" t="n"/>
      <c r="F639" s="37">
        <f>IF($A639="","",TEXT($A639,"yyyy-mm"))</f>
        <v/>
      </c>
      <c r="G639" s="38" t="n"/>
      <c r="H639" s="37" t="n"/>
    </row>
    <row r="640">
      <c r="A640" s="34" t="n"/>
      <c r="B640" s="35" t="n"/>
      <c r="C640" s="35" t="n"/>
      <c r="D640" s="35" t="n"/>
      <c r="E640" s="36" t="n"/>
      <c r="F640" s="37">
        <f>IF($A640="","",TEXT($A640,"yyyy-mm"))</f>
        <v/>
      </c>
      <c r="G640" s="38" t="n"/>
      <c r="H640" s="37" t="n"/>
    </row>
    <row r="641">
      <c r="A641" s="34" t="n"/>
      <c r="B641" s="35" t="n"/>
      <c r="C641" s="35" t="n"/>
      <c r="D641" s="35" t="n"/>
      <c r="E641" s="36" t="n"/>
      <c r="F641" s="37">
        <f>IF($A641="","",TEXT($A641,"yyyy-mm"))</f>
        <v/>
      </c>
      <c r="G641" s="38" t="n"/>
      <c r="H641" s="37" t="n"/>
    </row>
    <row r="642">
      <c r="A642" s="34" t="n"/>
      <c r="B642" s="35" t="n"/>
      <c r="C642" s="35" t="n"/>
      <c r="D642" s="35" t="n"/>
      <c r="E642" s="36" t="n"/>
      <c r="F642" s="37">
        <f>IF($A642="","",TEXT($A642,"yyyy-mm"))</f>
        <v/>
      </c>
      <c r="G642" s="38" t="n"/>
      <c r="H642" s="37" t="n"/>
    </row>
    <row r="643">
      <c r="A643" s="34" t="n"/>
      <c r="B643" s="35" t="n"/>
      <c r="C643" s="35" t="n"/>
      <c r="D643" s="35" t="n"/>
      <c r="E643" s="36" t="n"/>
      <c r="F643" s="37">
        <f>IF($A643="","",TEXT($A643,"yyyy-mm"))</f>
        <v/>
      </c>
      <c r="G643" s="38" t="n"/>
      <c r="H643" s="37" t="n"/>
    </row>
    <row r="644">
      <c r="A644" s="34" t="n"/>
      <c r="B644" s="35" t="n"/>
      <c r="C644" s="35" t="n"/>
      <c r="D644" s="35" t="n"/>
      <c r="E644" s="36" t="n"/>
      <c r="F644" s="37">
        <f>IF($A644="","",TEXT($A644,"yyyy-mm"))</f>
        <v/>
      </c>
      <c r="G644" s="38" t="n"/>
      <c r="H644" s="37" t="n"/>
    </row>
    <row r="645">
      <c r="A645" s="34" t="n"/>
      <c r="B645" s="35" t="n"/>
      <c r="C645" s="35" t="n"/>
      <c r="D645" s="35" t="n"/>
      <c r="E645" s="36" t="n"/>
      <c r="F645" s="37">
        <f>IF($A645="","",TEXT($A645,"yyyy-mm"))</f>
        <v/>
      </c>
      <c r="G645" s="38" t="n"/>
      <c r="H645" s="37" t="n"/>
    </row>
    <row r="646">
      <c r="A646" s="34" t="n"/>
      <c r="B646" s="35" t="n"/>
      <c r="C646" s="35" t="n"/>
      <c r="D646" s="35" t="n"/>
      <c r="E646" s="36" t="n"/>
      <c r="F646" s="37">
        <f>IF($A646="","",TEXT($A646,"yyyy-mm"))</f>
        <v/>
      </c>
      <c r="G646" s="38" t="n"/>
      <c r="H646" s="37" t="n"/>
    </row>
    <row r="647">
      <c r="A647" s="34" t="n"/>
      <c r="B647" s="35" t="n"/>
      <c r="C647" s="35" t="n"/>
      <c r="D647" s="35" t="n"/>
      <c r="E647" s="36" t="n"/>
      <c r="F647" s="37">
        <f>IF($A647="","",TEXT($A647,"yyyy-mm"))</f>
        <v/>
      </c>
      <c r="G647" s="38" t="n"/>
      <c r="H647" s="37" t="n"/>
    </row>
    <row r="648">
      <c r="A648" s="34" t="n"/>
      <c r="B648" s="35" t="n"/>
      <c r="C648" s="35" t="n"/>
      <c r="D648" s="35" t="n"/>
      <c r="E648" s="36" t="n"/>
      <c r="F648" s="37">
        <f>IF($A648="","",TEXT($A648,"yyyy-mm"))</f>
        <v/>
      </c>
      <c r="G648" s="38" t="n"/>
      <c r="H648" s="37" t="n"/>
    </row>
    <row r="649">
      <c r="A649" s="34" t="n"/>
      <c r="B649" s="35" t="n"/>
      <c r="C649" s="35" t="n"/>
      <c r="D649" s="35" t="n"/>
      <c r="E649" s="36" t="n"/>
      <c r="F649" s="37">
        <f>IF($A649="","",TEXT($A649,"yyyy-mm"))</f>
        <v/>
      </c>
      <c r="G649" s="38" t="n"/>
      <c r="H649" s="37" t="n"/>
    </row>
    <row r="650">
      <c r="A650" s="34" t="n"/>
      <c r="B650" s="35" t="n"/>
      <c r="C650" s="35" t="n"/>
      <c r="D650" s="35" t="n"/>
      <c r="E650" s="36" t="n"/>
      <c r="F650" s="37">
        <f>IF($A650="","",TEXT($A650,"yyyy-mm"))</f>
        <v/>
      </c>
      <c r="G650" s="38" t="n"/>
      <c r="H650" s="37" t="n"/>
    </row>
    <row r="651">
      <c r="A651" s="34" t="n"/>
      <c r="B651" s="35" t="n"/>
      <c r="C651" s="35" t="n"/>
      <c r="D651" s="35" t="n"/>
      <c r="E651" s="36" t="n"/>
      <c r="F651" s="37">
        <f>IF($A651="","",TEXT($A651,"yyyy-mm"))</f>
        <v/>
      </c>
      <c r="G651" s="38" t="n"/>
      <c r="H651" s="37" t="n"/>
    </row>
    <row r="652">
      <c r="A652" s="34" t="n"/>
      <c r="B652" s="35" t="n"/>
      <c r="C652" s="35" t="n"/>
      <c r="D652" s="35" t="n"/>
      <c r="E652" s="36" t="n"/>
      <c r="F652" s="37">
        <f>IF($A652="","",TEXT($A652,"yyyy-mm"))</f>
        <v/>
      </c>
      <c r="G652" s="38" t="n"/>
      <c r="H652" s="37" t="n"/>
    </row>
    <row r="653">
      <c r="A653" s="34" t="n"/>
      <c r="B653" s="35" t="n"/>
      <c r="C653" s="35" t="n"/>
      <c r="D653" s="35" t="n"/>
      <c r="E653" s="36" t="n"/>
      <c r="F653" s="37">
        <f>IF($A653="","",TEXT($A653,"yyyy-mm"))</f>
        <v/>
      </c>
      <c r="G653" s="38" t="n"/>
      <c r="H653" s="37" t="n"/>
    </row>
    <row r="654">
      <c r="A654" s="34" t="n"/>
      <c r="B654" s="35" t="n"/>
      <c r="C654" s="35" t="n"/>
      <c r="D654" s="35" t="n"/>
      <c r="E654" s="36" t="n"/>
      <c r="F654" s="37">
        <f>IF($A654="","",TEXT($A654,"yyyy-mm"))</f>
        <v/>
      </c>
      <c r="G654" s="38" t="n"/>
      <c r="H654" s="37" t="n"/>
    </row>
    <row r="655">
      <c r="A655" s="34" t="n"/>
      <c r="B655" s="35" t="n"/>
      <c r="C655" s="35" t="n"/>
      <c r="D655" s="35" t="n"/>
      <c r="E655" s="36" t="n"/>
      <c r="F655" s="37">
        <f>IF($A655="","",TEXT($A655,"yyyy-mm"))</f>
        <v/>
      </c>
      <c r="G655" s="38" t="n"/>
      <c r="H655" s="37" t="n"/>
    </row>
    <row r="656">
      <c r="A656" s="34" t="n"/>
      <c r="B656" s="35" t="n"/>
      <c r="C656" s="35" t="n"/>
      <c r="D656" s="35" t="n"/>
      <c r="E656" s="36" t="n"/>
      <c r="F656" s="37">
        <f>IF($A656="","",TEXT($A656,"yyyy-mm"))</f>
        <v/>
      </c>
      <c r="G656" s="38" t="n"/>
      <c r="H656" s="37" t="n"/>
    </row>
    <row r="657">
      <c r="A657" s="34" t="n"/>
      <c r="B657" s="35" t="n"/>
      <c r="C657" s="35" t="n"/>
      <c r="D657" s="35" t="n"/>
      <c r="E657" s="36" t="n"/>
      <c r="F657" s="37">
        <f>IF($A657="","",TEXT($A657,"yyyy-mm"))</f>
        <v/>
      </c>
      <c r="G657" s="38" t="n"/>
      <c r="H657" s="37" t="n"/>
    </row>
    <row r="658">
      <c r="A658" s="34" t="n"/>
      <c r="B658" s="35" t="n"/>
      <c r="C658" s="35" t="n"/>
      <c r="D658" s="35" t="n"/>
      <c r="E658" s="36" t="n"/>
      <c r="F658" s="37">
        <f>IF($A658="","",TEXT($A658,"yyyy-mm"))</f>
        <v/>
      </c>
      <c r="G658" s="38" t="n"/>
      <c r="H658" s="37" t="n"/>
    </row>
    <row r="659">
      <c r="A659" s="34" t="n"/>
      <c r="B659" s="35" t="n"/>
      <c r="C659" s="35" t="n"/>
      <c r="D659" s="35" t="n"/>
      <c r="E659" s="36" t="n"/>
      <c r="F659" s="37">
        <f>IF($A659="","",TEXT($A659,"yyyy-mm"))</f>
        <v/>
      </c>
      <c r="G659" s="38" t="n"/>
      <c r="H659" s="37" t="n"/>
    </row>
    <row r="660">
      <c r="A660" s="34" t="n"/>
      <c r="B660" s="35" t="n"/>
      <c r="C660" s="35" t="n"/>
      <c r="D660" s="35" t="n"/>
      <c r="E660" s="36" t="n"/>
      <c r="F660" s="37">
        <f>IF($A660="","",TEXT($A660,"yyyy-mm"))</f>
        <v/>
      </c>
      <c r="G660" s="38" t="n"/>
      <c r="H660" s="37" t="n"/>
    </row>
    <row r="661">
      <c r="A661" s="34" t="n"/>
      <c r="B661" s="35" t="n"/>
      <c r="C661" s="35" t="n"/>
      <c r="D661" s="35" t="n"/>
      <c r="E661" s="36" t="n"/>
      <c r="F661" s="37">
        <f>IF($A661="","",TEXT($A661,"yyyy-mm"))</f>
        <v/>
      </c>
      <c r="G661" s="38" t="n"/>
      <c r="H661" s="37" t="n"/>
    </row>
    <row r="662">
      <c r="A662" s="34" t="n"/>
      <c r="B662" s="35" t="n"/>
      <c r="C662" s="35" t="n"/>
      <c r="D662" s="35" t="n"/>
      <c r="E662" s="36" t="n"/>
      <c r="F662" s="37">
        <f>IF($A662="","",TEXT($A662,"yyyy-mm"))</f>
        <v/>
      </c>
      <c r="G662" s="38" t="n"/>
      <c r="H662" s="37" t="n"/>
    </row>
    <row r="663">
      <c r="A663" s="34" t="n"/>
      <c r="B663" s="35" t="n"/>
      <c r="C663" s="35" t="n"/>
      <c r="D663" s="35" t="n"/>
      <c r="E663" s="36" t="n"/>
      <c r="F663" s="37">
        <f>IF($A663="","",TEXT($A663,"yyyy-mm"))</f>
        <v/>
      </c>
      <c r="G663" s="38" t="n"/>
      <c r="H663" s="37" t="n"/>
    </row>
    <row r="664">
      <c r="A664" s="34" t="n"/>
      <c r="B664" s="35" t="n"/>
      <c r="C664" s="35" t="n"/>
      <c r="D664" s="35" t="n"/>
      <c r="E664" s="36" t="n"/>
      <c r="F664" s="37">
        <f>IF($A664="","",TEXT($A664,"yyyy-mm"))</f>
        <v/>
      </c>
      <c r="G664" s="38" t="n"/>
      <c r="H664" s="37" t="n"/>
    </row>
    <row r="665">
      <c r="A665" s="34" t="n"/>
      <c r="B665" s="35" t="n"/>
      <c r="C665" s="35" t="n"/>
      <c r="D665" s="35" t="n"/>
      <c r="E665" s="36" t="n"/>
      <c r="F665" s="37">
        <f>IF($A665="","",TEXT($A665,"yyyy-mm"))</f>
        <v/>
      </c>
      <c r="G665" s="38" t="n"/>
      <c r="H665" s="37" t="n"/>
    </row>
    <row r="666">
      <c r="A666" s="34" t="n"/>
      <c r="B666" s="35" t="n"/>
      <c r="C666" s="35" t="n"/>
      <c r="D666" s="35" t="n"/>
      <c r="E666" s="36" t="n"/>
      <c r="F666" s="37">
        <f>IF($A666="","",TEXT($A666,"yyyy-mm"))</f>
        <v/>
      </c>
      <c r="G666" s="38" t="n"/>
      <c r="H666" s="37" t="n"/>
    </row>
    <row r="667">
      <c r="A667" s="34" t="n"/>
      <c r="B667" s="35" t="n"/>
      <c r="C667" s="35" t="n"/>
      <c r="D667" s="35" t="n"/>
      <c r="E667" s="36" t="n"/>
      <c r="F667" s="37">
        <f>IF($A667="","",TEXT($A667,"yyyy-mm"))</f>
        <v/>
      </c>
      <c r="G667" s="38" t="n"/>
      <c r="H667" s="37" t="n"/>
    </row>
    <row r="668">
      <c r="A668" s="34" t="n"/>
      <c r="B668" s="35" t="n"/>
      <c r="C668" s="35" t="n"/>
      <c r="D668" s="35" t="n"/>
      <c r="E668" s="36" t="n"/>
      <c r="F668" s="37">
        <f>IF($A668="","",TEXT($A668,"yyyy-mm"))</f>
        <v/>
      </c>
      <c r="G668" s="38" t="n"/>
      <c r="H668" s="37" t="n"/>
    </row>
    <row r="669">
      <c r="A669" s="34" t="n"/>
      <c r="B669" s="35" t="n"/>
      <c r="C669" s="35" t="n"/>
      <c r="D669" s="35" t="n"/>
      <c r="E669" s="36" t="n"/>
      <c r="F669" s="37">
        <f>IF($A669="","",TEXT($A669,"yyyy-mm"))</f>
        <v/>
      </c>
      <c r="G669" s="38" t="n"/>
      <c r="H669" s="37" t="n"/>
    </row>
    <row r="670">
      <c r="A670" s="34" t="n"/>
      <c r="B670" s="35" t="n"/>
      <c r="C670" s="35" t="n"/>
      <c r="D670" s="35" t="n"/>
      <c r="E670" s="36" t="n"/>
      <c r="F670" s="37">
        <f>IF($A670="","",TEXT($A670,"yyyy-mm"))</f>
        <v/>
      </c>
      <c r="G670" s="38" t="n"/>
      <c r="H670" s="37" t="n"/>
    </row>
    <row r="671">
      <c r="A671" s="34" t="n"/>
      <c r="B671" s="35" t="n"/>
      <c r="C671" s="35" t="n"/>
      <c r="D671" s="35" t="n"/>
      <c r="E671" s="36" t="n"/>
      <c r="F671" s="37">
        <f>IF($A671="","",TEXT($A671,"yyyy-mm"))</f>
        <v/>
      </c>
      <c r="G671" s="38" t="n"/>
      <c r="H671" s="37" t="n"/>
    </row>
    <row r="672">
      <c r="A672" s="34" t="n"/>
      <c r="B672" s="35" t="n"/>
      <c r="C672" s="35" t="n"/>
      <c r="D672" s="35" t="n"/>
      <c r="E672" s="36" t="n"/>
      <c r="F672" s="37">
        <f>IF($A672="","",TEXT($A672,"yyyy-mm"))</f>
        <v/>
      </c>
      <c r="G672" s="38" t="n"/>
      <c r="H672" s="37" t="n"/>
    </row>
    <row r="673">
      <c r="A673" s="34" t="n"/>
      <c r="B673" s="35" t="n"/>
      <c r="C673" s="35" t="n"/>
      <c r="D673" s="35" t="n"/>
      <c r="E673" s="36" t="n"/>
      <c r="F673" s="37">
        <f>IF($A673="","",TEXT($A673,"yyyy-mm"))</f>
        <v/>
      </c>
      <c r="G673" s="38" t="n"/>
      <c r="H673" s="37" t="n"/>
    </row>
    <row r="674">
      <c r="A674" s="34" t="n"/>
      <c r="B674" s="35" t="n"/>
      <c r="C674" s="35" t="n"/>
      <c r="D674" s="35" t="n"/>
      <c r="E674" s="36" t="n"/>
      <c r="F674" s="37">
        <f>IF($A674="","",TEXT($A674,"yyyy-mm"))</f>
        <v/>
      </c>
      <c r="G674" s="38" t="n"/>
      <c r="H674" s="37" t="n"/>
    </row>
    <row r="675">
      <c r="A675" s="34" t="n"/>
      <c r="B675" s="35" t="n"/>
      <c r="C675" s="35" t="n"/>
      <c r="D675" s="35" t="n"/>
      <c r="E675" s="36" t="n"/>
      <c r="F675" s="37">
        <f>IF($A675="","",TEXT($A675,"yyyy-mm"))</f>
        <v/>
      </c>
      <c r="G675" s="38" t="n"/>
      <c r="H675" s="37" t="n"/>
    </row>
    <row r="676">
      <c r="A676" s="34" t="n"/>
      <c r="B676" s="35" t="n"/>
      <c r="C676" s="35" t="n"/>
      <c r="D676" s="35" t="n"/>
      <c r="E676" s="36" t="n"/>
      <c r="F676" s="37">
        <f>IF($A676="","",TEXT($A676,"yyyy-mm"))</f>
        <v/>
      </c>
      <c r="G676" s="38" t="n"/>
      <c r="H676" s="37" t="n"/>
    </row>
    <row r="677">
      <c r="A677" s="34" t="n"/>
      <c r="B677" s="35" t="n"/>
      <c r="C677" s="35" t="n"/>
      <c r="D677" s="35" t="n"/>
      <c r="E677" s="36" t="n"/>
      <c r="F677" s="37">
        <f>IF($A677="","",TEXT($A677,"yyyy-mm"))</f>
        <v/>
      </c>
      <c r="G677" s="38" t="n"/>
      <c r="H677" s="37" t="n"/>
    </row>
    <row r="678">
      <c r="A678" s="34" t="n"/>
      <c r="B678" s="35" t="n"/>
      <c r="C678" s="35" t="n"/>
      <c r="D678" s="35" t="n"/>
      <c r="E678" s="36" t="n"/>
      <c r="F678" s="37">
        <f>IF($A678="","",TEXT($A678,"yyyy-mm"))</f>
        <v/>
      </c>
      <c r="G678" s="38" t="n"/>
      <c r="H678" s="37" t="n"/>
    </row>
    <row r="679">
      <c r="A679" s="34" t="n"/>
      <c r="B679" s="35" t="n"/>
      <c r="C679" s="35" t="n"/>
      <c r="D679" s="35" t="n"/>
      <c r="E679" s="36" t="n"/>
      <c r="F679" s="37">
        <f>IF($A679="","",TEXT($A679,"yyyy-mm"))</f>
        <v/>
      </c>
      <c r="G679" s="38" t="n"/>
      <c r="H679" s="37" t="n"/>
    </row>
    <row r="680">
      <c r="A680" s="34" t="n"/>
      <c r="B680" s="35" t="n"/>
      <c r="C680" s="35" t="n"/>
      <c r="D680" s="35" t="n"/>
      <c r="E680" s="36" t="n"/>
      <c r="F680" s="37">
        <f>IF($A680="","",TEXT($A680,"yyyy-mm"))</f>
        <v/>
      </c>
      <c r="G680" s="38" t="n"/>
      <c r="H680" s="37" t="n"/>
    </row>
    <row r="681">
      <c r="A681" s="34" t="n"/>
      <c r="B681" s="35" t="n"/>
      <c r="C681" s="35" t="n"/>
      <c r="D681" s="35" t="n"/>
      <c r="E681" s="36" t="n"/>
      <c r="F681" s="37">
        <f>IF($A681="","",TEXT($A681,"yyyy-mm"))</f>
        <v/>
      </c>
      <c r="G681" s="38" t="n"/>
      <c r="H681" s="37" t="n"/>
    </row>
    <row r="682">
      <c r="A682" s="34" t="n"/>
      <c r="B682" s="35" t="n"/>
      <c r="C682" s="35" t="n"/>
      <c r="D682" s="35" t="n"/>
      <c r="E682" s="36" t="n"/>
      <c r="F682" s="37">
        <f>IF($A682="","",TEXT($A682,"yyyy-mm"))</f>
        <v/>
      </c>
      <c r="G682" s="38" t="n"/>
      <c r="H682" s="37" t="n"/>
    </row>
    <row r="683">
      <c r="A683" s="34" t="n"/>
      <c r="B683" s="35" t="n"/>
      <c r="C683" s="35" t="n"/>
      <c r="D683" s="35" t="n"/>
      <c r="E683" s="36" t="n"/>
      <c r="F683" s="37">
        <f>IF($A683="","",TEXT($A683,"yyyy-mm"))</f>
        <v/>
      </c>
      <c r="G683" s="38" t="n"/>
      <c r="H683" s="37" t="n"/>
    </row>
    <row r="684">
      <c r="A684" s="34" t="n"/>
      <c r="B684" s="35" t="n"/>
      <c r="C684" s="35" t="n"/>
      <c r="D684" s="35" t="n"/>
      <c r="E684" s="36" t="n"/>
      <c r="F684" s="37">
        <f>IF($A684="","",TEXT($A684,"yyyy-mm"))</f>
        <v/>
      </c>
      <c r="G684" s="38" t="n"/>
      <c r="H684" s="37" t="n"/>
    </row>
    <row r="685">
      <c r="A685" s="34" t="n"/>
      <c r="B685" s="35" t="n"/>
      <c r="C685" s="35" t="n"/>
      <c r="D685" s="35" t="n"/>
      <c r="E685" s="36" t="n"/>
      <c r="F685" s="37">
        <f>IF($A685="","",TEXT($A685,"yyyy-mm"))</f>
        <v/>
      </c>
      <c r="G685" s="38" t="n"/>
      <c r="H685" s="37" t="n"/>
    </row>
    <row r="686">
      <c r="A686" s="34" t="n"/>
      <c r="B686" s="35" t="n"/>
      <c r="C686" s="35" t="n"/>
      <c r="D686" s="35" t="n"/>
      <c r="E686" s="36" t="n"/>
      <c r="F686" s="37">
        <f>IF($A686="","",TEXT($A686,"yyyy-mm"))</f>
        <v/>
      </c>
      <c r="G686" s="38" t="n"/>
      <c r="H686" s="37" t="n"/>
    </row>
    <row r="687">
      <c r="A687" s="34" t="n"/>
      <c r="B687" s="35" t="n"/>
      <c r="C687" s="35" t="n"/>
      <c r="D687" s="35" t="n"/>
      <c r="E687" s="36" t="n"/>
      <c r="F687" s="37">
        <f>IF($A687="","",TEXT($A687,"yyyy-mm"))</f>
        <v/>
      </c>
      <c r="G687" s="38" t="n"/>
      <c r="H687" s="37" t="n"/>
    </row>
    <row r="688">
      <c r="A688" s="34" t="n"/>
      <c r="B688" s="35" t="n"/>
      <c r="C688" s="35" t="n"/>
      <c r="D688" s="35" t="n"/>
      <c r="E688" s="36" t="n"/>
      <c r="F688" s="37">
        <f>IF($A688="","",TEXT($A688,"yyyy-mm"))</f>
        <v/>
      </c>
      <c r="G688" s="38" t="n"/>
      <c r="H688" s="37" t="n"/>
    </row>
    <row r="689">
      <c r="A689" s="34" t="n"/>
      <c r="B689" s="35" t="n"/>
      <c r="C689" s="35" t="n"/>
      <c r="D689" s="35" t="n"/>
      <c r="E689" s="36" t="n"/>
      <c r="F689" s="37">
        <f>IF($A689="","",TEXT($A689,"yyyy-mm"))</f>
        <v/>
      </c>
      <c r="G689" s="38" t="n"/>
      <c r="H689" s="37" t="n"/>
    </row>
    <row r="690">
      <c r="A690" s="34" t="n"/>
      <c r="B690" s="35" t="n"/>
      <c r="C690" s="35" t="n"/>
      <c r="D690" s="35" t="n"/>
      <c r="E690" s="36" t="n"/>
      <c r="F690" s="37">
        <f>IF($A690="","",TEXT($A690,"yyyy-mm"))</f>
        <v/>
      </c>
      <c r="G690" s="38" t="n"/>
      <c r="H690" s="37" t="n"/>
    </row>
    <row r="691">
      <c r="A691" s="34" t="n"/>
      <c r="B691" s="35" t="n"/>
      <c r="C691" s="35" t="n"/>
      <c r="D691" s="35" t="n"/>
      <c r="E691" s="36" t="n"/>
      <c r="F691" s="37">
        <f>IF($A691="","",TEXT($A691,"yyyy-mm"))</f>
        <v/>
      </c>
      <c r="G691" s="38" t="n"/>
      <c r="H691" s="37" t="n"/>
    </row>
    <row r="692">
      <c r="A692" s="34" t="n"/>
      <c r="B692" s="35" t="n"/>
      <c r="C692" s="35" t="n"/>
      <c r="D692" s="35" t="n"/>
      <c r="E692" s="36" t="n"/>
      <c r="F692" s="37">
        <f>IF($A692="","",TEXT($A692,"yyyy-mm"))</f>
        <v/>
      </c>
      <c r="G692" s="38" t="n"/>
      <c r="H692" s="37" t="n"/>
    </row>
    <row r="693">
      <c r="A693" s="34" t="n"/>
      <c r="B693" s="35" t="n"/>
      <c r="C693" s="35" t="n"/>
      <c r="D693" s="35" t="n"/>
      <c r="E693" s="36" t="n"/>
      <c r="F693" s="37">
        <f>IF($A693="","",TEXT($A693,"yyyy-mm"))</f>
        <v/>
      </c>
      <c r="G693" s="38" t="n"/>
      <c r="H693" s="37" t="n"/>
    </row>
    <row r="694">
      <c r="A694" s="34" t="n"/>
      <c r="B694" s="35" t="n"/>
      <c r="C694" s="35" t="n"/>
      <c r="D694" s="35" t="n"/>
      <c r="E694" s="36" t="n"/>
      <c r="F694" s="37">
        <f>IF($A694="","",TEXT($A694,"yyyy-mm"))</f>
        <v/>
      </c>
      <c r="G694" s="38" t="n"/>
      <c r="H694" s="37" t="n"/>
    </row>
    <row r="695">
      <c r="A695" s="34" t="n"/>
      <c r="B695" s="35" t="n"/>
      <c r="C695" s="35" t="n"/>
      <c r="D695" s="35" t="n"/>
      <c r="E695" s="36" t="n"/>
      <c r="F695" s="37">
        <f>IF($A695="","",TEXT($A695,"yyyy-mm"))</f>
        <v/>
      </c>
      <c r="G695" s="38" t="n"/>
      <c r="H695" s="37" t="n"/>
    </row>
    <row r="696">
      <c r="A696" s="34" t="n"/>
      <c r="B696" s="35" t="n"/>
      <c r="C696" s="35" t="n"/>
      <c r="D696" s="35" t="n"/>
      <c r="E696" s="36" t="n"/>
      <c r="F696" s="37">
        <f>IF($A696="","",TEXT($A696,"yyyy-mm"))</f>
        <v/>
      </c>
      <c r="G696" s="38" t="n"/>
      <c r="H696" s="37" t="n"/>
    </row>
    <row r="697">
      <c r="A697" s="34" t="n"/>
      <c r="B697" s="35" t="n"/>
      <c r="C697" s="35" t="n"/>
      <c r="D697" s="35" t="n"/>
      <c r="E697" s="36" t="n"/>
      <c r="F697" s="37">
        <f>IF($A697="","",TEXT($A697,"yyyy-mm"))</f>
        <v/>
      </c>
      <c r="G697" s="38" t="n"/>
      <c r="H697" s="37" t="n"/>
    </row>
    <row r="698">
      <c r="A698" s="34" t="n"/>
      <c r="B698" s="35" t="n"/>
      <c r="C698" s="35" t="n"/>
      <c r="D698" s="35" t="n"/>
      <c r="E698" s="36" t="n"/>
      <c r="F698" s="37">
        <f>IF($A698="","",TEXT($A698,"yyyy-mm"))</f>
        <v/>
      </c>
      <c r="G698" s="38" t="n"/>
      <c r="H698" s="37" t="n"/>
    </row>
    <row r="699">
      <c r="A699" s="34" t="n"/>
      <c r="B699" s="35" t="n"/>
      <c r="C699" s="35" t="n"/>
      <c r="D699" s="35" t="n"/>
      <c r="E699" s="36" t="n"/>
      <c r="F699" s="37">
        <f>IF($A699="","",TEXT($A699,"yyyy-mm"))</f>
        <v/>
      </c>
      <c r="G699" s="38" t="n"/>
      <c r="H699" s="37" t="n"/>
    </row>
    <row r="700">
      <c r="A700" s="34" t="n"/>
      <c r="B700" s="35" t="n"/>
      <c r="C700" s="35" t="n"/>
      <c r="D700" s="35" t="n"/>
      <c r="E700" s="36" t="n"/>
      <c r="F700" s="37">
        <f>IF($A700="","",TEXT($A700,"yyyy-mm"))</f>
        <v/>
      </c>
      <c r="G700" s="38" t="n"/>
      <c r="H700" s="37" t="n"/>
    </row>
    <row r="701">
      <c r="A701" s="34" t="n"/>
      <c r="B701" s="35" t="n"/>
      <c r="C701" s="35" t="n"/>
      <c r="D701" s="35" t="n"/>
      <c r="E701" s="36" t="n"/>
      <c r="F701" s="37">
        <f>IF($A701="","",TEXT($A701,"yyyy-mm"))</f>
        <v/>
      </c>
      <c r="G701" s="38" t="n"/>
      <c r="H701" s="37" t="n"/>
    </row>
    <row r="702">
      <c r="A702" s="34" t="n"/>
      <c r="B702" s="35" t="n"/>
      <c r="C702" s="35" t="n"/>
      <c r="D702" s="35" t="n"/>
      <c r="E702" s="36" t="n"/>
      <c r="F702" s="37">
        <f>IF($A702="","",TEXT($A702,"yyyy-mm"))</f>
        <v/>
      </c>
      <c r="G702" s="38" t="n"/>
      <c r="H702" s="37" t="n"/>
    </row>
    <row r="703">
      <c r="A703" s="34" t="n"/>
      <c r="B703" s="35" t="n"/>
      <c r="C703" s="35" t="n"/>
      <c r="D703" s="35" t="n"/>
      <c r="E703" s="36" t="n"/>
      <c r="F703" s="37">
        <f>IF($A703="","",TEXT($A703,"yyyy-mm"))</f>
        <v/>
      </c>
      <c r="G703" s="38" t="n"/>
      <c r="H703" s="37" t="n"/>
    </row>
    <row r="704">
      <c r="A704" s="34" t="n"/>
      <c r="B704" s="35" t="n"/>
      <c r="C704" s="35" t="n"/>
      <c r="D704" s="35" t="n"/>
      <c r="E704" s="36" t="n"/>
      <c r="F704" s="37">
        <f>IF($A704="","",TEXT($A704,"yyyy-mm"))</f>
        <v/>
      </c>
      <c r="G704" s="38" t="n"/>
      <c r="H704" s="37" t="n"/>
    </row>
    <row r="705">
      <c r="A705" s="34" t="n"/>
      <c r="B705" s="35" t="n"/>
      <c r="C705" s="35" t="n"/>
      <c r="D705" s="35" t="n"/>
      <c r="E705" s="36" t="n"/>
      <c r="F705" s="37">
        <f>IF($A705="","",TEXT($A705,"yyyy-mm"))</f>
        <v/>
      </c>
      <c r="G705" s="38" t="n"/>
      <c r="H705" s="37" t="n"/>
    </row>
    <row r="706">
      <c r="A706" s="34" t="n"/>
      <c r="B706" s="35" t="n"/>
      <c r="C706" s="35" t="n"/>
      <c r="D706" s="35" t="n"/>
      <c r="E706" s="36" t="n"/>
      <c r="F706" s="37">
        <f>IF($A706="","",TEXT($A706,"yyyy-mm"))</f>
        <v/>
      </c>
      <c r="G706" s="38" t="n"/>
      <c r="H706" s="37" t="n"/>
    </row>
    <row r="707">
      <c r="A707" s="34" t="n"/>
      <c r="B707" s="35" t="n"/>
      <c r="C707" s="35" t="n"/>
      <c r="D707" s="35" t="n"/>
      <c r="E707" s="36" t="n"/>
      <c r="F707" s="37">
        <f>IF($A707="","",TEXT($A707,"yyyy-mm"))</f>
        <v/>
      </c>
      <c r="G707" s="38" t="n"/>
      <c r="H707" s="37" t="n"/>
    </row>
    <row r="708">
      <c r="A708" s="34" t="n"/>
      <c r="B708" s="35" t="n"/>
      <c r="C708" s="35" t="n"/>
      <c r="D708" s="35" t="n"/>
      <c r="E708" s="36" t="n"/>
      <c r="F708" s="37">
        <f>IF($A708="","",TEXT($A708,"yyyy-mm"))</f>
        <v/>
      </c>
      <c r="G708" s="38" t="n"/>
      <c r="H708" s="37" t="n"/>
    </row>
    <row r="709">
      <c r="A709" s="34" t="n"/>
      <c r="B709" s="35" t="n"/>
      <c r="C709" s="35" t="n"/>
      <c r="D709" s="35" t="n"/>
      <c r="E709" s="36" t="n"/>
      <c r="F709" s="37">
        <f>IF($A709="","",TEXT($A709,"yyyy-mm"))</f>
        <v/>
      </c>
      <c r="G709" s="38" t="n"/>
      <c r="H709" s="37" t="n"/>
    </row>
    <row r="710">
      <c r="A710" s="34" t="n"/>
      <c r="B710" s="35" t="n"/>
      <c r="C710" s="35" t="n"/>
      <c r="D710" s="35" t="n"/>
      <c r="E710" s="36" t="n"/>
      <c r="F710" s="37">
        <f>IF($A710="","",TEXT($A710,"yyyy-mm"))</f>
        <v/>
      </c>
      <c r="G710" s="38" t="n"/>
      <c r="H710" s="37" t="n"/>
    </row>
    <row r="711">
      <c r="A711" s="34" t="n"/>
      <c r="B711" s="35" t="n"/>
      <c r="C711" s="35" t="n"/>
      <c r="D711" s="35" t="n"/>
      <c r="E711" s="36" t="n"/>
      <c r="F711" s="37">
        <f>IF($A711="","",TEXT($A711,"yyyy-mm"))</f>
        <v/>
      </c>
      <c r="G711" s="38" t="n"/>
      <c r="H711" s="37" t="n"/>
    </row>
    <row r="712">
      <c r="A712" s="34" t="n"/>
      <c r="B712" s="35" t="n"/>
      <c r="C712" s="35" t="n"/>
      <c r="D712" s="35" t="n"/>
      <c r="E712" s="36" t="n"/>
      <c r="F712" s="37">
        <f>IF($A712="","",TEXT($A712,"yyyy-mm"))</f>
        <v/>
      </c>
      <c r="G712" s="38" t="n"/>
      <c r="H712" s="37" t="n"/>
    </row>
    <row r="713">
      <c r="A713" s="34" t="n"/>
      <c r="B713" s="35" t="n"/>
      <c r="C713" s="35" t="n"/>
      <c r="D713" s="35" t="n"/>
      <c r="E713" s="36" t="n"/>
      <c r="F713" s="37">
        <f>IF($A713="","",TEXT($A713,"yyyy-mm"))</f>
        <v/>
      </c>
      <c r="G713" s="38" t="n"/>
      <c r="H713" s="37" t="n"/>
    </row>
    <row r="714">
      <c r="A714" s="34" t="n"/>
      <c r="B714" s="35" t="n"/>
      <c r="C714" s="35" t="n"/>
      <c r="D714" s="35" t="n"/>
      <c r="E714" s="36" t="n"/>
      <c r="F714" s="37">
        <f>IF($A714="","",TEXT($A714,"yyyy-mm"))</f>
        <v/>
      </c>
      <c r="G714" s="38" t="n"/>
      <c r="H714" s="37" t="n"/>
    </row>
    <row r="715">
      <c r="A715" s="34" t="n"/>
      <c r="B715" s="35" t="n"/>
      <c r="C715" s="35" t="n"/>
      <c r="D715" s="35" t="n"/>
      <c r="E715" s="36" t="n"/>
      <c r="F715" s="37">
        <f>IF($A715="","",TEXT($A715,"yyyy-mm"))</f>
        <v/>
      </c>
      <c r="G715" s="38" t="n"/>
      <c r="H715" s="37" t="n"/>
    </row>
    <row r="716">
      <c r="A716" s="34" t="n"/>
      <c r="B716" s="35" t="n"/>
      <c r="C716" s="35" t="n"/>
      <c r="D716" s="35" t="n"/>
      <c r="E716" s="36" t="n"/>
      <c r="F716" s="37">
        <f>IF($A716="","",TEXT($A716,"yyyy-mm"))</f>
        <v/>
      </c>
      <c r="G716" s="38" t="n"/>
      <c r="H716" s="37" t="n"/>
    </row>
    <row r="717">
      <c r="A717" s="34" t="n"/>
      <c r="B717" s="35" t="n"/>
      <c r="C717" s="35" t="n"/>
      <c r="D717" s="35" t="n"/>
      <c r="E717" s="36" t="n"/>
      <c r="F717" s="37">
        <f>IF($A717="","",TEXT($A717,"yyyy-mm"))</f>
        <v/>
      </c>
      <c r="G717" s="38" t="n"/>
      <c r="H717" s="37" t="n"/>
    </row>
    <row r="718">
      <c r="A718" s="34" t="n"/>
      <c r="B718" s="35" t="n"/>
      <c r="C718" s="35" t="n"/>
      <c r="D718" s="35" t="n"/>
      <c r="E718" s="36" t="n"/>
      <c r="F718" s="37">
        <f>IF($A718="","",TEXT($A718,"yyyy-mm"))</f>
        <v/>
      </c>
      <c r="G718" s="38" t="n"/>
      <c r="H718" s="37" t="n"/>
    </row>
    <row r="719">
      <c r="A719" s="34" t="n"/>
      <c r="B719" s="35" t="n"/>
      <c r="C719" s="35" t="n"/>
      <c r="D719" s="35" t="n"/>
      <c r="E719" s="36" t="n"/>
      <c r="F719" s="37">
        <f>IF($A719="","",TEXT($A719,"yyyy-mm"))</f>
        <v/>
      </c>
      <c r="G719" s="38" t="n"/>
      <c r="H719" s="37" t="n"/>
    </row>
    <row r="720">
      <c r="A720" s="34" t="n"/>
      <c r="B720" s="35" t="n"/>
      <c r="C720" s="35" t="n"/>
      <c r="D720" s="35" t="n"/>
      <c r="E720" s="36" t="n"/>
      <c r="F720" s="37">
        <f>IF($A720="","",TEXT($A720,"yyyy-mm"))</f>
        <v/>
      </c>
      <c r="G720" s="38" t="n"/>
      <c r="H720" s="37" t="n"/>
    </row>
    <row r="721">
      <c r="A721" s="34" t="n"/>
      <c r="B721" s="35" t="n"/>
      <c r="C721" s="35" t="n"/>
      <c r="D721" s="35" t="n"/>
      <c r="E721" s="36" t="n"/>
      <c r="F721" s="37">
        <f>IF($A721="","",TEXT($A721,"yyyy-mm"))</f>
        <v/>
      </c>
      <c r="G721" s="38" t="n"/>
      <c r="H721" s="37" t="n"/>
    </row>
    <row r="722">
      <c r="A722" s="34" t="n"/>
      <c r="B722" s="35" t="n"/>
      <c r="C722" s="35" t="n"/>
      <c r="D722" s="35" t="n"/>
      <c r="E722" s="36" t="n"/>
      <c r="F722" s="37">
        <f>IF($A722="","",TEXT($A722,"yyyy-mm"))</f>
        <v/>
      </c>
      <c r="G722" s="38" t="n"/>
      <c r="H722" s="37" t="n"/>
    </row>
    <row r="723">
      <c r="A723" s="34" t="n"/>
      <c r="B723" s="35" t="n"/>
      <c r="C723" s="35" t="n"/>
      <c r="D723" s="35" t="n"/>
      <c r="E723" s="36" t="n"/>
      <c r="F723" s="37">
        <f>IF($A723="","",TEXT($A723,"yyyy-mm"))</f>
        <v/>
      </c>
      <c r="G723" s="38" t="n"/>
      <c r="H723" s="37" t="n"/>
    </row>
    <row r="724">
      <c r="A724" s="34" t="n"/>
      <c r="B724" s="35" t="n"/>
      <c r="C724" s="35" t="n"/>
      <c r="D724" s="35" t="n"/>
      <c r="E724" s="36" t="n"/>
      <c r="F724" s="37">
        <f>IF($A724="","",TEXT($A724,"yyyy-mm"))</f>
        <v/>
      </c>
      <c r="G724" s="38" t="n"/>
      <c r="H724" s="37" t="n"/>
    </row>
    <row r="725">
      <c r="A725" s="34" t="n"/>
      <c r="B725" s="35" t="n"/>
      <c r="C725" s="35" t="n"/>
      <c r="D725" s="35" t="n"/>
      <c r="E725" s="36" t="n"/>
      <c r="F725" s="37">
        <f>IF($A725="","",TEXT($A725,"yyyy-mm"))</f>
        <v/>
      </c>
      <c r="G725" s="38" t="n"/>
      <c r="H725" s="37" t="n"/>
    </row>
    <row r="726">
      <c r="A726" s="34" t="n"/>
      <c r="B726" s="35" t="n"/>
      <c r="C726" s="35" t="n"/>
      <c r="D726" s="35" t="n"/>
      <c r="E726" s="36" t="n"/>
      <c r="F726" s="37">
        <f>IF($A726="","",TEXT($A726,"yyyy-mm"))</f>
        <v/>
      </c>
      <c r="G726" s="38" t="n"/>
      <c r="H726" s="37" t="n"/>
    </row>
    <row r="727">
      <c r="A727" s="34" t="n"/>
      <c r="B727" s="35" t="n"/>
      <c r="C727" s="35" t="n"/>
      <c r="D727" s="35" t="n"/>
      <c r="E727" s="36" t="n"/>
      <c r="F727" s="37">
        <f>IF($A727="","",TEXT($A727,"yyyy-mm"))</f>
        <v/>
      </c>
      <c r="G727" s="38" t="n"/>
      <c r="H727" s="37" t="n"/>
    </row>
    <row r="728">
      <c r="A728" s="34" t="n"/>
      <c r="B728" s="35" t="n"/>
      <c r="C728" s="35" t="n"/>
      <c r="D728" s="35" t="n"/>
      <c r="E728" s="36" t="n"/>
      <c r="F728" s="37">
        <f>IF($A728="","",TEXT($A728,"yyyy-mm"))</f>
        <v/>
      </c>
      <c r="G728" s="38" t="n"/>
      <c r="H728" s="37" t="n"/>
    </row>
    <row r="729">
      <c r="A729" s="34" t="n"/>
      <c r="B729" s="35" t="n"/>
      <c r="C729" s="35" t="n"/>
      <c r="D729" s="35" t="n"/>
      <c r="E729" s="36" t="n"/>
      <c r="F729" s="37">
        <f>IF($A729="","",TEXT($A729,"yyyy-mm"))</f>
        <v/>
      </c>
      <c r="G729" s="38" t="n"/>
      <c r="H729" s="37" t="n"/>
    </row>
    <row r="730">
      <c r="A730" s="34" t="n"/>
      <c r="B730" s="35" t="n"/>
      <c r="C730" s="35" t="n"/>
      <c r="D730" s="35" t="n"/>
      <c r="E730" s="36" t="n"/>
      <c r="F730" s="37">
        <f>IF($A730="","",TEXT($A730,"yyyy-mm"))</f>
        <v/>
      </c>
      <c r="G730" s="38" t="n"/>
      <c r="H730" s="37" t="n"/>
    </row>
    <row r="731">
      <c r="A731" s="34" t="n"/>
      <c r="B731" s="35" t="n"/>
      <c r="C731" s="35" t="n"/>
      <c r="D731" s="35" t="n"/>
      <c r="E731" s="36" t="n"/>
      <c r="F731" s="37">
        <f>IF($A731="","",TEXT($A731,"yyyy-mm"))</f>
        <v/>
      </c>
      <c r="G731" s="38" t="n"/>
      <c r="H731" s="37" t="n"/>
    </row>
    <row r="732">
      <c r="A732" s="34" t="n"/>
      <c r="B732" s="35" t="n"/>
      <c r="C732" s="35" t="n"/>
      <c r="D732" s="35" t="n"/>
      <c r="E732" s="36" t="n"/>
      <c r="F732" s="37">
        <f>IF($A732="","",TEXT($A732,"yyyy-mm"))</f>
        <v/>
      </c>
      <c r="G732" s="38" t="n"/>
      <c r="H732" s="37" t="n"/>
    </row>
    <row r="733">
      <c r="A733" s="34" t="n"/>
      <c r="B733" s="35" t="n"/>
      <c r="C733" s="35" t="n"/>
      <c r="D733" s="35" t="n"/>
      <c r="E733" s="36" t="n"/>
      <c r="F733" s="37">
        <f>IF($A733="","",TEXT($A733,"yyyy-mm"))</f>
        <v/>
      </c>
      <c r="G733" s="38" t="n"/>
      <c r="H733" s="37" t="n"/>
    </row>
    <row r="734">
      <c r="A734" s="34" t="n"/>
      <c r="B734" s="35" t="n"/>
      <c r="C734" s="35" t="n"/>
      <c r="D734" s="35" t="n"/>
      <c r="E734" s="36" t="n"/>
      <c r="F734" s="37">
        <f>IF($A734="","",TEXT($A734,"yyyy-mm"))</f>
        <v/>
      </c>
      <c r="G734" s="38" t="n"/>
      <c r="H734" s="37" t="n"/>
    </row>
    <row r="735">
      <c r="A735" s="34" t="n"/>
      <c r="B735" s="35" t="n"/>
      <c r="C735" s="35" t="n"/>
      <c r="D735" s="35" t="n"/>
      <c r="E735" s="36" t="n"/>
      <c r="F735" s="37">
        <f>IF($A735="","",TEXT($A735,"yyyy-mm"))</f>
        <v/>
      </c>
      <c r="G735" s="38" t="n"/>
      <c r="H735" s="37" t="n"/>
    </row>
    <row r="736">
      <c r="A736" s="34" t="n"/>
      <c r="B736" s="35" t="n"/>
      <c r="C736" s="35" t="n"/>
      <c r="D736" s="35" t="n"/>
      <c r="E736" s="36" t="n"/>
      <c r="F736" s="37">
        <f>IF($A736="","",TEXT($A736,"yyyy-mm"))</f>
        <v/>
      </c>
      <c r="G736" s="38" t="n"/>
      <c r="H736" s="37" t="n"/>
    </row>
    <row r="737">
      <c r="A737" s="34" t="n"/>
      <c r="B737" s="35" t="n"/>
      <c r="C737" s="35" t="n"/>
      <c r="D737" s="35" t="n"/>
      <c r="E737" s="36" t="n"/>
      <c r="F737" s="37">
        <f>IF($A737="","",TEXT($A737,"yyyy-mm"))</f>
        <v/>
      </c>
      <c r="G737" s="38" t="n"/>
      <c r="H737" s="37" t="n"/>
    </row>
    <row r="738">
      <c r="A738" s="34" t="n"/>
      <c r="B738" s="35" t="n"/>
      <c r="C738" s="35" t="n"/>
      <c r="D738" s="35" t="n"/>
      <c r="E738" s="36" t="n"/>
      <c r="F738" s="37">
        <f>IF($A738="","",TEXT($A738,"yyyy-mm"))</f>
        <v/>
      </c>
      <c r="G738" s="38" t="n"/>
      <c r="H738" s="37" t="n"/>
    </row>
    <row r="739">
      <c r="A739" s="34" t="n"/>
      <c r="B739" s="35" t="n"/>
      <c r="C739" s="35" t="n"/>
      <c r="D739" s="35" t="n"/>
      <c r="E739" s="36" t="n"/>
      <c r="F739" s="37">
        <f>IF($A739="","",TEXT($A739,"yyyy-mm"))</f>
        <v/>
      </c>
      <c r="G739" s="38" t="n"/>
      <c r="H739" s="37" t="n"/>
    </row>
    <row r="740">
      <c r="A740" s="34" t="n"/>
      <c r="B740" s="35" t="n"/>
      <c r="C740" s="35" t="n"/>
      <c r="D740" s="35" t="n"/>
      <c r="E740" s="36" t="n"/>
      <c r="F740" s="37">
        <f>IF($A740="","",TEXT($A740,"yyyy-mm"))</f>
        <v/>
      </c>
      <c r="G740" s="38" t="n"/>
      <c r="H740" s="37" t="n"/>
    </row>
    <row r="741">
      <c r="A741" s="34" t="n"/>
      <c r="B741" s="35" t="n"/>
      <c r="C741" s="35" t="n"/>
      <c r="D741" s="35" t="n"/>
      <c r="E741" s="36" t="n"/>
      <c r="F741" s="37">
        <f>IF($A741="","",TEXT($A741,"yyyy-mm"))</f>
        <v/>
      </c>
      <c r="G741" s="38" t="n"/>
      <c r="H741" s="37" t="n"/>
    </row>
    <row r="742">
      <c r="A742" s="34" t="n"/>
      <c r="B742" s="35" t="n"/>
      <c r="C742" s="35" t="n"/>
      <c r="D742" s="35" t="n"/>
      <c r="E742" s="36" t="n"/>
      <c r="F742" s="37">
        <f>IF($A742="","",TEXT($A742,"yyyy-mm"))</f>
        <v/>
      </c>
      <c r="G742" s="38" t="n"/>
      <c r="H742" s="37" t="n"/>
    </row>
    <row r="743">
      <c r="A743" s="34" t="n"/>
      <c r="B743" s="35" t="n"/>
      <c r="C743" s="35" t="n"/>
      <c r="D743" s="35" t="n"/>
      <c r="E743" s="36" t="n"/>
      <c r="F743" s="37">
        <f>IF($A743="","",TEXT($A743,"yyyy-mm"))</f>
        <v/>
      </c>
      <c r="G743" s="38" t="n"/>
      <c r="H743" s="37" t="n"/>
    </row>
    <row r="744">
      <c r="A744" s="34" t="n"/>
      <c r="B744" s="35" t="n"/>
      <c r="C744" s="35" t="n"/>
      <c r="D744" s="35" t="n"/>
      <c r="E744" s="36" t="n"/>
      <c r="F744" s="37">
        <f>IF($A744="","",TEXT($A744,"yyyy-mm"))</f>
        <v/>
      </c>
      <c r="G744" s="38" t="n"/>
      <c r="H744" s="37" t="n"/>
    </row>
    <row r="745">
      <c r="A745" s="34" t="n"/>
      <c r="B745" s="35" t="n"/>
      <c r="C745" s="35" t="n"/>
      <c r="D745" s="35" t="n"/>
      <c r="E745" s="36" t="n"/>
      <c r="F745" s="37">
        <f>IF($A745="","",TEXT($A745,"yyyy-mm"))</f>
        <v/>
      </c>
      <c r="G745" s="38" t="n"/>
      <c r="H745" s="37" t="n"/>
    </row>
    <row r="746">
      <c r="A746" s="34" t="n"/>
      <c r="B746" s="35" t="n"/>
      <c r="C746" s="35" t="n"/>
      <c r="D746" s="35" t="n"/>
      <c r="E746" s="36" t="n"/>
      <c r="F746" s="37">
        <f>IF($A746="","",TEXT($A746,"yyyy-mm"))</f>
        <v/>
      </c>
      <c r="G746" s="38" t="n"/>
      <c r="H746" s="37" t="n"/>
    </row>
    <row r="747">
      <c r="A747" s="34" t="n"/>
      <c r="B747" s="35" t="n"/>
      <c r="C747" s="35" t="n"/>
      <c r="D747" s="35" t="n"/>
      <c r="E747" s="36" t="n"/>
      <c r="F747" s="37">
        <f>IF($A747="","",TEXT($A747,"yyyy-mm"))</f>
        <v/>
      </c>
      <c r="G747" s="38" t="n"/>
      <c r="H747" s="37" t="n"/>
    </row>
    <row r="748">
      <c r="A748" s="34" t="n"/>
      <c r="B748" s="35" t="n"/>
      <c r="C748" s="35" t="n"/>
      <c r="D748" s="35" t="n"/>
      <c r="E748" s="36" t="n"/>
      <c r="F748" s="37">
        <f>IF($A748="","",TEXT($A748,"yyyy-mm"))</f>
        <v/>
      </c>
      <c r="G748" s="38" t="n"/>
      <c r="H748" s="37" t="n"/>
    </row>
    <row r="749">
      <c r="A749" s="34" t="n"/>
      <c r="B749" s="35" t="n"/>
      <c r="C749" s="35" t="n"/>
      <c r="D749" s="35" t="n"/>
      <c r="E749" s="36" t="n"/>
      <c r="F749" s="37">
        <f>IF($A749="","",TEXT($A749,"yyyy-mm"))</f>
        <v/>
      </c>
      <c r="G749" s="38" t="n"/>
      <c r="H749" s="37" t="n"/>
    </row>
    <row r="750">
      <c r="A750" s="34" t="n"/>
      <c r="B750" s="35" t="n"/>
      <c r="C750" s="35" t="n"/>
      <c r="D750" s="35" t="n"/>
      <c r="E750" s="36" t="n"/>
      <c r="F750" s="37">
        <f>IF($A750="","",TEXT($A750,"yyyy-mm"))</f>
        <v/>
      </c>
      <c r="G750" s="38" t="n"/>
      <c r="H750" s="37" t="n"/>
    </row>
    <row r="751">
      <c r="A751" s="34" t="n"/>
      <c r="B751" s="35" t="n"/>
      <c r="C751" s="35" t="n"/>
      <c r="D751" s="35" t="n"/>
      <c r="E751" s="36" t="n"/>
      <c r="F751" s="37">
        <f>IF($A751="","",TEXT($A751,"yyyy-mm"))</f>
        <v/>
      </c>
      <c r="G751" s="38" t="n"/>
      <c r="H751" s="37" t="n"/>
    </row>
    <row r="752">
      <c r="A752" s="34" t="n"/>
      <c r="B752" s="35" t="n"/>
      <c r="C752" s="35" t="n"/>
      <c r="D752" s="35" t="n"/>
      <c r="E752" s="36" t="n"/>
      <c r="F752" s="37">
        <f>IF($A752="","",TEXT($A752,"yyyy-mm"))</f>
        <v/>
      </c>
      <c r="G752" s="38" t="n"/>
      <c r="H752" s="37" t="n"/>
    </row>
    <row r="753">
      <c r="A753" s="34" t="n"/>
      <c r="B753" s="35" t="n"/>
      <c r="C753" s="35" t="n"/>
      <c r="D753" s="35" t="n"/>
      <c r="E753" s="36" t="n"/>
      <c r="F753" s="37">
        <f>IF($A753="","",TEXT($A753,"yyyy-mm"))</f>
        <v/>
      </c>
      <c r="G753" s="38" t="n"/>
      <c r="H753" s="37" t="n"/>
    </row>
    <row r="754">
      <c r="A754" s="34" t="n"/>
      <c r="B754" s="35" t="n"/>
      <c r="C754" s="35" t="n"/>
      <c r="D754" s="35" t="n"/>
      <c r="E754" s="36" t="n"/>
      <c r="F754" s="37">
        <f>IF($A754="","",TEXT($A754,"yyyy-mm"))</f>
        <v/>
      </c>
      <c r="G754" s="38" t="n"/>
      <c r="H754" s="37" t="n"/>
    </row>
    <row r="755">
      <c r="A755" s="34" t="n"/>
      <c r="B755" s="35" t="n"/>
      <c r="C755" s="35" t="n"/>
      <c r="D755" s="35" t="n"/>
      <c r="E755" s="36" t="n"/>
      <c r="F755" s="37">
        <f>IF($A755="","",TEXT($A755,"yyyy-mm"))</f>
        <v/>
      </c>
      <c r="G755" s="38" t="n"/>
      <c r="H755" s="37" t="n"/>
    </row>
    <row r="756">
      <c r="A756" s="34" t="n"/>
      <c r="B756" s="35" t="n"/>
      <c r="C756" s="35" t="n"/>
      <c r="D756" s="35" t="n"/>
      <c r="E756" s="36" t="n"/>
      <c r="F756" s="37">
        <f>IF($A756="","",TEXT($A756,"yyyy-mm"))</f>
        <v/>
      </c>
      <c r="G756" s="38" t="n"/>
      <c r="H756" s="37" t="n"/>
    </row>
    <row r="757">
      <c r="A757" s="34" t="n"/>
      <c r="B757" s="35" t="n"/>
      <c r="C757" s="35" t="n"/>
      <c r="D757" s="35" t="n"/>
      <c r="E757" s="36" t="n"/>
      <c r="F757" s="37">
        <f>IF($A757="","",TEXT($A757,"yyyy-mm"))</f>
        <v/>
      </c>
      <c r="G757" s="38" t="n"/>
      <c r="H757" s="37" t="n"/>
    </row>
    <row r="758">
      <c r="A758" s="34" t="n"/>
      <c r="B758" s="35" t="n"/>
      <c r="C758" s="35" t="n"/>
      <c r="D758" s="35" t="n"/>
      <c r="E758" s="36" t="n"/>
      <c r="F758" s="37">
        <f>IF($A758="","",TEXT($A758,"yyyy-mm"))</f>
        <v/>
      </c>
      <c r="G758" s="38" t="n"/>
      <c r="H758" s="37" t="n"/>
    </row>
    <row r="759">
      <c r="A759" s="34" t="n"/>
      <c r="B759" s="35" t="n"/>
      <c r="C759" s="35" t="n"/>
      <c r="D759" s="35" t="n"/>
      <c r="E759" s="36" t="n"/>
      <c r="F759" s="37">
        <f>IF($A759="","",TEXT($A759,"yyyy-mm"))</f>
        <v/>
      </c>
      <c r="G759" s="38" t="n"/>
      <c r="H759" s="37" t="n"/>
    </row>
    <row r="760">
      <c r="A760" s="34" t="n"/>
      <c r="B760" s="35" t="n"/>
      <c r="C760" s="35" t="n"/>
      <c r="D760" s="35" t="n"/>
      <c r="E760" s="36" t="n"/>
      <c r="F760" s="37">
        <f>IF($A760="","",TEXT($A760,"yyyy-mm"))</f>
        <v/>
      </c>
      <c r="G760" s="38" t="n"/>
      <c r="H760" s="37" t="n"/>
    </row>
    <row r="761">
      <c r="A761" s="34" t="n"/>
      <c r="B761" s="35" t="n"/>
      <c r="C761" s="35" t="n"/>
      <c r="D761" s="35" t="n"/>
      <c r="E761" s="36" t="n"/>
      <c r="F761" s="37">
        <f>IF($A761="","",TEXT($A761,"yyyy-mm"))</f>
        <v/>
      </c>
      <c r="G761" s="38" t="n"/>
      <c r="H761" s="37" t="n"/>
    </row>
    <row r="762">
      <c r="A762" s="34" t="n"/>
      <c r="B762" s="35" t="n"/>
      <c r="C762" s="35" t="n"/>
      <c r="D762" s="35" t="n"/>
      <c r="E762" s="36" t="n"/>
      <c r="F762" s="37">
        <f>IF($A762="","",TEXT($A762,"yyyy-mm"))</f>
        <v/>
      </c>
      <c r="G762" s="38" t="n"/>
      <c r="H762" s="37" t="n"/>
    </row>
    <row r="763">
      <c r="A763" s="34" t="n"/>
      <c r="B763" s="35" t="n"/>
      <c r="C763" s="35" t="n"/>
      <c r="D763" s="35" t="n"/>
      <c r="E763" s="36" t="n"/>
      <c r="F763" s="37">
        <f>IF($A763="","",TEXT($A763,"yyyy-mm"))</f>
        <v/>
      </c>
      <c r="G763" s="38" t="n"/>
      <c r="H763" s="37" t="n"/>
    </row>
    <row r="764">
      <c r="A764" s="34" t="n"/>
      <c r="B764" s="35" t="n"/>
      <c r="C764" s="35" t="n"/>
      <c r="D764" s="35" t="n"/>
      <c r="E764" s="36" t="n"/>
      <c r="F764" s="37">
        <f>IF($A764="","",TEXT($A764,"yyyy-mm"))</f>
        <v/>
      </c>
      <c r="G764" s="38" t="n"/>
      <c r="H764" s="37" t="n"/>
    </row>
    <row r="765">
      <c r="A765" s="34" t="n"/>
      <c r="B765" s="35" t="n"/>
      <c r="C765" s="35" t="n"/>
      <c r="D765" s="35" t="n"/>
      <c r="E765" s="36" t="n"/>
      <c r="F765" s="37">
        <f>IF($A765="","",TEXT($A765,"yyyy-mm"))</f>
        <v/>
      </c>
      <c r="G765" s="38" t="n"/>
      <c r="H765" s="37" t="n"/>
    </row>
    <row r="766">
      <c r="A766" s="34" t="n"/>
      <c r="B766" s="35" t="n"/>
      <c r="C766" s="35" t="n"/>
      <c r="D766" s="35" t="n"/>
      <c r="E766" s="36" t="n"/>
      <c r="F766" s="37">
        <f>IF($A766="","",TEXT($A766,"yyyy-mm"))</f>
        <v/>
      </c>
      <c r="G766" s="38" t="n"/>
      <c r="H766" s="37" t="n"/>
    </row>
    <row r="767">
      <c r="A767" s="34" t="n"/>
      <c r="B767" s="35" t="n"/>
      <c r="C767" s="35" t="n"/>
      <c r="D767" s="35" t="n"/>
      <c r="E767" s="36" t="n"/>
      <c r="F767" s="37">
        <f>IF($A767="","",TEXT($A767,"yyyy-mm"))</f>
        <v/>
      </c>
      <c r="G767" s="38" t="n"/>
      <c r="H767" s="37" t="n"/>
    </row>
    <row r="768">
      <c r="A768" s="34" t="n"/>
      <c r="B768" s="35" t="n"/>
      <c r="C768" s="35" t="n"/>
      <c r="D768" s="35" t="n"/>
      <c r="E768" s="36" t="n"/>
      <c r="F768" s="37">
        <f>IF($A768="","",TEXT($A768,"yyyy-mm"))</f>
        <v/>
      </c>
      <c r="G768" s="38" t="n"/>
      <c r="H768" s="37" t="n"/>
    </row>
    <row r="769">
      <c r="A769" s="34" t="n"/>
      <c r="B769" s="35" t="n"/>
      <c r="C769" s="35" t="n"/>
      <c r="D769" s="35" t="n"/>
      <c r="E769" s="36" t="n"/>
      <c r="F769" s="37">
        <f>IF($A769="","",TEXT($A769,"yyyy-mm"))</f>
        <v/>
      </c>
      <c r="G769" s="38" t="n"/>
      <c r="H769" s="37" t="n"/>
    </row>
    <row r="770">
      <c r="A770" s="34" t="n"/>
      <c r="B770" s="35" t="n"/>
      <c r="C770" s="35" t="n"/>
      <c r="D770" s="35" t="n"/>
      <c r="E770" s="36" t="n"/>
      <c r="F770" s="37">
        <f>IF($A770="","",TEXT($A770,"yyyy-mm"))</f>
        <v/>
      </c>
      <c r="G770" s="38" t="n"/>
      <c r="H770" s="37" t="n"/>
    </row>
    <row r="771">
      <c r="A771" s="34" t="n"/>
      <c r="B771" s="35" t="n"/>
      <c r="C771" s="35" t="n"/>
      <c r="D771" s="35" t="n"/>
      <c r="E771" s="36" t="n"/>
      <c r="F771" s="37">
        <f>IF($A771="","",TEXT($A771,"yyyy-mm"))</f>
        <v/>
      </c>
      <c r="G771" s="38" t="n"/>
      <c r="H771" s="37" t="n"/>
    </row>
    <row r="772">
      <c r="A772" s="34" t="n"/>
      <c r="B772" s="35" t="n"/>
      <c r="C772" s="35" t="n"/>
      <c r="D772" s="35" t="n"/>
      <c r="E772" s="36" t="n"/>
      <c r="F772" s="37">
        <f>IF($A772="","",TEXT($A772,"yyyy-mm"))</f>
        <v/>
      </c>
      <c r="G772" s="38" t="n"/>
      <c r="H772" s="37" t="n"/>
    </row>
    <row r="773">
      <c r="A773" s="34" t="n"/>
      <c r="B773" s="35" t="n"/>
      <c r="C773" s="35" t="n"/>
      <c r="D773" s="35" t="n"/>
      <c r="E773" s="36" t="n"/>
      <c r="F773" s="37">
        <f>IF($A773="","",TEXT($A773,"yyyy-mm"))</f>
        <v/>
      </c>
      <c r="G773" s="38" t="n"/>
      <c r="H773" s="37" t="n"/>
    </row>
    <row r="774">
      <c r="A774" s="34" t="n"/>
      <c r="B774" s="35" t="n"/>
      <c r="C774" s="35" t="n"/>
      <c r="D774" s="35" t="n"/>
      <c r="E774" s="36" t="n"/>
      <c r="F774" s="37">
        <f>IF($A774="","",TEXT($A774,"yyyy-mm"))</f>
        <v/>
      </c>
      <c r="G774" s="38" t="n"/>
      <c r="H774" s="37" t="n"/>
    </row>
    <row r="775">
      <c r="A775" s="34" t="n"/>
      <c r="B775" s="35" t="n"/>
      <c r="C775" s="35" t="n"/>
      <c r="D775" s="35" t="n"/>
      <c r="E775" s="36" t="n"/>
      <c r="F775" s="37">
        <f>IF($A775="","",TEXT($A775,"yyyy-mm"))</f>
        <v/>
      </c>
      <c r="G775" s="38" t="n"/>
      <c r="H775" s="37" t="n"/>
    </row>
    <row r="776">
      <c r="A776" s="34" t="n"/>
      <c r="B776" s="35" t="n"/>
      <c r="C776" s="35" t="n"/>
      <c r="D776" s="35" t="n"/>
      <c r="E776" s="36" t="n"/>
      <c r="F776" s="37">
        <f>IF($A776="","",TEXT($A776,"yyyy-mm"))</f>
        <v/>
      </c>
      <c r="G776" s="38" t="n"/>
      <c r="H776" s="37" t="n"/>
    </row>
    <row r="777">
      <c r="A777" s="34" t="n"/>
      <c r="B777" s="35" t="n"/>
      <c r="C777" s="35" t="n"/>
      <c r="D777" s="35" t="n"/>
      <c r="E777" s="36" t="n"/>
      <c r="F777" s="37">
        <f>IF($A777="","",TEXT($A777,"yyyy-mm"))</f>
        <v/>
      </c>
      <c r="G777" s="38" t="n"/>
      <c r="H777" s="37" t="n"/>
    </row>
    <row r="778">
      <c r="A778" s="34" t="n"/>
      <c r="B778" s="35" t="n"/>
      <c r="C778" s="35" t="n"/>
      <c r="D778" s="35" t="n"/>
      <c r="E778" s="36" t="n"/>
      <c r="F778" s="37">
        <f>IF($A778="","",TEXT($A778,"yyyy-mm"))</f>
        <v/>
      </c>
      <c r="G778" s="38" t="n"/>
      <c r="H778" s="37" t="n"/>
    </row>
    <row r="779">
      <c r="A779" s="34" t="n"/>
      <c r="B779" s="35" t="n"/>
      <c r="C779" s="35" t="n"/>
      <c r="D779" s="35" t="n"/>
      <c r="E779" s="36" t="n"/>
      <c r="F779" s="37">
        <f>IF($A779="","",TEXT($A779,"yyyy-mm"))</f>
        <v/>
      </c>
      <c r="G779" s="38" t="n"/>
      <c r="H779" s="37" t="n"/>
    </row>
    <row r="780">
      <c r="A780" s="34" t="n"/>
      <c r="B780" s="35" t="n"/>
      <c r="C780" s="35" t="n"/>
      <c r="D780" s="35" t="n"/>
      <c r="E780" s="36" t="n"/>
      <c r="F780" s="37">
        <f>IF($A780="","",TEXT($A780,"yyyy-mm"))</f>
        <v/>
      </c>
      <c r="G780" s="38" t="n"/>
      <c r="H780" s="37" t="n"/>
    </row>
    <row r="781">
      <c r="A781" s="34" t="n"/>
      <c r="B781" s="35" t="n"/>
      <c r="C781" s="35" t="n"/>
      <c r="D781" s="35" t="n"/>
      <c r="E781" s="36" t="n"/>
      <c r="F781" s="37">
        <f>IF($A781="","",TEXT($A781,"yyyy-mm"))</f>
        <v/>
      </c>
      <c r="G781" s="38" t="n"/>
      <c r="H781" s="37" t="n"/>
    </row>
    <row r="782">
      <c r="A782" s="34" t="n"/>
      <c r="B782" s="35" t="n"/>
      <c r="C782" s="35" t="n"/>
      <c r="D782" s="35" t="n"/>
      <c r="E782" s="36" t="n"/>
      <c r="F782" s="37">
        <f>IF($A782="","",TEXT($A782,"yyyy-mm"))</f>
        <v/>
      </c>
      <c r="G782" s="38" t="n"/>
      <c r="H782" s="37" t="n"/>
    </row>
    <row r="783">
      <c r="A783" s="34" t="n"/>
      <c r="B783" s="35" t="n"/>
      <c r="C783" s="35" t="n"/>
      <c r="D783" s="35" t="n"/>
      <c r="E783" s="36" t="n"/>
      <c r="F783" s="37">
        <f>IF($A783="","",TEXT($A783,"yyyy-mm"))</f>
        <v/>
      </c>
      <c r="G783" s="38" t="n"/>
      <c r="H783" s="37" t="n"/>
    </row>
    <row r="784">
      <c r="A784" s="34" t="n"/>
      <c r="B784" s="35" t="n"/>
      <c r="C784" s="35" t="n"/>
      <c r="D784" s="35" t="n"/>
      <c r="E784" s="36" t="n"/>
      <c r="F784" s="37">
        <f>IF($A784="","",TEXT($A784,"yyyy-mm"))</f>
        <v/>
      </c>
      <c r="G784" s="38" t="n"/>
      <c r="H784" s="37" t="n"/>
    </row>
    <row r="785">
      <c r="A785" s="34" t="n"/>
      <c r="B785" s="35" t="n"/>
      <c r="C785" s="35" t="n"/>
      <c r="D785" s="35" t="n"/>
      <c r="E785" s="36" t="n"/>
      <c r="F785" s="37">
        <f>IF($A785="","",TEXT($A785,"yyyy-mm"))</f>
        <v/>
      </c>
      <c r="G785" s="38" t="n"/>
      <c r="H785" s="37" t="n"/>
    </row>
    <row r="786">
      <c r="A786" s="34" t="n"/>
      <c r="B786" s="35" t="n"/>
      <c r="C786" s="35" t="n"/>
      <c r="D786" s="35" t="n"/>
      <c r="E786" s="36" t="n"/>
      <c r="F786" s="37">
        <f>IF($A786="","",TEXT($A786,"yyyy-mm"))</f>
        <v/>
      </c>
      <c r="G786" s="38" t="n"/>
      <c r="H786" s="37" t="n"/>
    </row>
    <row r="787">
      <c r="A787" s="34" t="n"/>
      <c r="B787" s="35" t="n"/>
      <c r="C787" s="35" t="n"/>
      <c r="D787" s="35" t="n"/>
      <c r="E787" s="36" t="n"/>
      <c r="F787" s="37">
        <f>IF($A787="","",TEXT($A787,"yyyy-mm"))</f>
        <v/>
      </c>
      <c r="G787" s="38" t="n"/>
      <c r="H787" s="37" t="n"/>
    </row>
    <row r="788">
      <c r="A788" s="34" t="n"/>
      <c r="B788" s="35" t="n"/>
      <c r="C788" s="35" t="n"/>
      <c r="D788" s="35" t="n"/>
      <c r="E788" s="36" t="n"/>
      <c r="F788" s="37">
        <f>IF($A788="","",TEXT($A788,"yyyy-mm"))</f>
        <v/>
      </c>
      <c r="G788" s="38" t="n"/>
      <c r="H788" s="37" t="n"/>
    </row>
    <row r="789">
      <c r="A789" s="34" t="n"/>
      <c r="B789" s="35" t="n"/>
      <c r="C789" s="35" t="n"/>
      <c r="D789" s="35" t="n"/>
      <c r="E789" s="36" t="n"/>
      <c r="F789" s="37">
        <f>IF($A789="","",TEXT($A789,"yyyy-mm"))</f>
        <v/>
      </c>
      <c r="G789" s="38" t="n"/>
      <c r="H789" s="37" t="n"/>
    </row>
    <row r="790">
      <c r="A790" s="34" t="n"/>
      <c r="B790" s="35" t="n"/>
      <c r="C790" s="35" t="n"/>
      <c r="D790" s="35" t="n"/>
      <c r="E790" s="36" t="n"/>
      <c r="F790" s="37">
        <f>IF($A790="","",TEXT($A790,"yyyy-mm"))</f>
        <v/>
      </c>
      <c r="G790" s="38" t="n"/>
      <c r="H790" s="37" t="n"/>
    </row>
    <row r="791">
      <c r="A791" s="34" t="n"/>
      <c r="B791" s="35" t="n"/>
      <c r="C791" s="35" t="n"/>
      <c r="D791" s="35" t="n"/>
      <c r="E791" s="36" t="n"/>
      <c r="F791" s="37">
        <f>IF($A791="","",TEXT($A791,"yyyy-mm"))</f>
        <v/>
      </c>
      <c r="G791" s="38" t="n"/>
      <c r="H791" s="37" t="n"/>
    </row>
    <row r="792">
      <c r="A792" s="34" t="n"/>
      <c r="B792" s="35" t="n"/>
      <c r="C792" s="35" t="n"/>
      <c r="D792" s="35" t="n"/>
      <c r="E792" s="36" t="n"/>
      <c r="F792" s="37">
        <f>IF($A792="","",TEXT($A792,"yyyy-mm"))</f>
        <v/>
      </c>
      <c r="G792" s="38" t="n"/>
      <c r="H792" s="37" t="n"/>
    </row>
    <row r="793">
      <c r="A793" s="34" t="n"/>
      <c r="B793" s="35" t="n"/>
      <c r="C793" s="35" t="n"/>
      <c r="D793" s="35" t="n"/>
      <c r="E793" s="36" t="n"/>
      <c r="F793" s="37">
        <f>IF($A793="","",TEXT($A793,"yyyy-mm"))</f>
        <v/>
      </c>
      <c r="G793" s="38" t="n"/>
      <c r="H793" s="37" t="n"/>
    </row>
    <row r="794">
      <c r="A794" s="34" t="n"/>
      <c r="B794" s="35" t="n"/>
      <c r="C794" s="35" t="n"/>
      <c r="D794" s="35" t="n"/>
      <c r="E794" s="36" t="n"/>
      <c r="F794" s="37">
        <f>IF($A794="","",TEXT($A794,"yyyy-mm"))</f>
        <v/>
      </c>
      <c r="G794" s="38" t="n"/>
      <c r="H794" s="37" t="n"/>
    </row>
    <row r="795">
      <c r="A795" s="34" t="n"/>
      <c r="B795" s="35" t="n"/>
      <c r="C795" s="35" t="n"/>
      <c r="D795" s="35" t="n"/>
      <c r="E795" s="36" t="n"/>
      <c r="F795" s="37">
        <f>IF($A795="","",TEXT($A795,"yyyy-mm"))</f>
        <v/>
      </c>
      <c r="G795" s="38" t="n"/>
      <c r="H795" s="37" t="n"/>
    </row>
    <row r="796">
      <c r="A796" s="34" t="n"/>
      <c r="B796" s="35" t="n"/>
      <c r="C796" s="35" t="n"/>
      <c r="D796" s="35" t="n"/>
      <c r="E796" s="36" t="n"/>
      <c r="F796" s="37">
        <f>IF($A796="","",TEXT($A796,"yyyy-mm"))</f>
        <v/>
      </c>
      <c r="G796" s="38" t="n"/>
      <c r="H796" s="37" t="n"/>
    </row>
    <row r="797">
      <c r="A797" s="34" t="n"/>
      <c r="B797" s="35" t="n"/>
      <c r="C797" s="35" t="n"/>
      <c r="D797" s="35" t="n"/>
      <c r="E797" s="36" t="n"/>
      <c r="F797" s="37">
        <f>IF($A797="","",TEXT($A797,"yyyy-mm"))</f>
        <v/>
      </c>
      <c r="G797" s="38" t="n"/>
      <c r="H797" s="37" t="n"/>
    </row>
    <row r="798">
      <c r="A798" s="34" t="n"/>
      <c r="B798" s="35" t="n"/>
      <c r="C798" s="35" t="n"/>
      <c r="D798" s="35" t="n"/>
      <c r="E798" s="36" t="n"/>
      <c r="F798" s="37">
        <f>IF($A798="","",TEXT($A798,"yyyy-mm"))</f>
        <v/>
      </c>
      <c r="G798" s="38" t="n"/>
      <c r="H798" s="37" t="n"/>
    </row>
    <row r="799">
      <c r="A799" s="34" t="n"/>
      <c r="B799" s="35" t="n"/>
      <c r="C799" s="35" t="n"/>
      <c r="D799" s="35" t="n"/>
      <c r="E799" s="36" t="n"/>
      <c r="F799" s="37">
        <f>IF($A799="","",TEXT($A799,"yyyy-mm"))</f>
        <v/>
      </c>
      <c r="G799" s="38" t="n"/>
      <c r="H799" s="37" t="n"/>
    </row>
    <row r="800">
      <c r="A800" s="34" t="n"/>
      <c r="B800" s="35" t="n"/>
      <c r="C800" s="35" t="n"/>
      <c r="D800" s="35" t="n"/>
      <c r="E800" s="36" t="n"/>
      <c r="F800" s="37">
        <f>IF($A800="","",TEXT($A800,"yyyy-mm"))</f>
        <v/>
      </c>
      <c r="G800" s="38" t="n"/>
      <c r="H800" s="37" t="n"/>
    </row>
    <row r="801">
      <c r="A801" s="34" t="n"/>
      <c r="B801" s="35" t="n"/>
      <c r="C801" s="35" t="n"/>
      <c r="D801" s="35" t="n"/>
      <c r="E801" s="36" t="n"/>
      <c r="F801" s="37">
        <f>IF($A801="","",TEXT($A801,"yyyy-mm"))</f>
        <v/>
      </c>
      <c r="G801" s="38" t="n"/>
      <c r="H801" s="37" t="n"/>
    </row>
    <row r="802">
      <c r="A802" s="34" t="n"/>
      <c r="B802" s="35" t="n"/>
      <c r="C802" s="35" t="n"/>
      <c r="D802" s="35" t="n"/>
      <c r="E802" s="36" t="n"/>
      <c r="F802" s="37">
        <f>IF($A802="","",TEXT($A802,"yyyy-mm"))</f>
        <v/>
      </c>
      <c r="G802" s="38" t="n"/>
      <c r="H802" s="37" t="n"/>
    </row>
    <row r="803">
      <c r="A803" s="34" t="n"/>
      <c r="B803" s="35" t="n"/>
      <c r="C803" s="35" t="n"/>
      <c r="D803" s="35" t="n"/>
      <c r="E803" s="36" t="n"/>
      <c r="F803" s="37">
        <f>IF($A803="","",TEXT($A803,"yyyy-mm"))</f>
        <v/>
      </c>
      <c r="G803" s="38" t="n"/>
      <c r="H803" s="37" t="n"/>
    </row>
    <row r="804">
      <c r="A804" s="34" t="n"/>
      <c r="B804" s="35" t="n"/>
      <c r="C804" s="35" t="n"/>
      <c r="D804" s="35" t="n"/>
      <c r="E804" s="36" t="n"/>
      <c r="F804" s="37">
        <f>IF($A804="","",TEXT($A804,"yyyy-mm"))</f>
        <v/>
      </c>
      <c r="G804" s="38" t="n"/>
      <c r="H804" s="37" t="n"/>
    </row>
    <row r="805">
      <c r="A805" s="34" t="n"/>
      <c r="B805" s="35" t="n"/>
      <c r="C805" s="35" t="n"/>
      <c r="D805" s="35" t="n"/>
      <c r="E805" s="36" t="n"/>
      <c r="F805" s="37">
        <f>IF($A805="","",TEXT($A805,"yyyy-mm"))</f>
        <v/>
      </c>
      <c r="G805" s="38" t="n"/>
      <c r="H805" s="37" t="n"/>
    </row>
    <row r="806">
      <c r="A806" s="34" t="n"/>
      <c r="B806" s="35" t="n"/>
      <c r="C806" s="35" t="n"/>
      <c r="D806" s="35" t="n"/>
      <c r="E806" s="36" t="n"/>
      <c r="F806" s="37">
        <f>IF($A806="","",TEXT($A806,"yyyy-mm"))</f>
        <v/>
      </c>
      <c r="G806" s="38" t="n"/>
      <c r="H806" s="37" t="n"/>
    </row>
    <row r="807">
      <c r="A807" s="34" t="n"/>
      <c r="B807" s="35" t="n"/>
      <c r="C807" s="35" t="n"/>
      <c r="D807" s="35" t="n"/>
      <c r="E807" s="36" t="n"/>
      <c r="F807" s="37">
        <f>IF($A807="","",TEXT($A807,"yyyy-mm"))</f>
        <v/>
      </c>
      <c r="G807" s="38" t="n"/>
      <c r="H807" s="37" t="n"/>
    </row>
    <row r="808">
      <c r="A808" s="34" t="n"/>
      <c r="B808" s="35" t="n"/>
      <c r="C808" s="35" t="n"/>
      <c r="D808" s="35" t="n"/>
      <c r="E808" s="36" t="n"/>
      <c r="F808" s="37">
        <f>IF($A808="","",TEXT($A808,"yyyy-mm"))</f>
        <v/>
      </c>
      <c r="G808" s="38" t="n"/>
      <c r="H808" s="37" t="n"/>
    </row>
    <row r="809">
      <c r="A809" s="34" t="n"/>
      <c r="B809" s="35" t="n"/>
      <c r="C809" s="35" t="n"/>
      <c r="D809" s="35" t="n"/>
      <c r="E809" s="36" t="n"/>
      <c r="F809" s="37">
        <f>IF($A809="","",TEXT($A809,"yyyy-mm"))</f>
        <v/>
      </c>
      <c r="G809" s="38" t="n"/>
      <c r="H809" s="37" t="n"/>
    </row>
    <row r="810">
      <c r="A810" s="34" t="n"/>
      <c r="B810" s="35" t="n"/>
      <c r="C810" s="35" t="n"/>
      <c r="D810" s="35" t="n"/>
      <c r="E810" s="36" t="n"/>
      <c r="F810" s="37">
        <f>IF($A810="","",TEXT($A810,"yyyy-mm"))</f>
        <v/>
      </c>
      <c r="G810" s="38" t="n"/>
      <c r="H810" s="37" t="n"/>
    </row>
    <row r="811">
      <c r="A811" s="34" t="n"/>
      <c r="B811" s="35" t="n"/>
      <c r="C811" s="35" t="n"/>
      <c r="D811" s="35" t="n"/>
      <c r="E811" s="36" t="n"/>
      <c r="F811" s="37">
        <f>IF($A811="","",TEXT($A811,"yyyy-mm"))</f>
        <v/>
      </c>
      <c r="G811" s="38" t="n"/>
      <c r="H811" s="37" t="n"/>
    </row>
    <row r="812">
      <c r="A812" s="34" t="n"/>
      <c r="B812" s="35" t="n"/>
      <c r="C812" s="35" t="n"/>
      <c r="D812" s="35" t="n"/>
      <c r="E812" s="36" t="n"/>
      <c r="F812" s="37">
        <f>IF($A812="","",TEXT($A812,"yyyy-mm"))</f>
        <v/>
      </c>
      <c r="G812" s="38" t="n"/>
      <c r="H812" s="37" t="n"/>
    </row>
    <row r="813">
      <c r="A813" s="34" t="n"/>
      <c r="B813" s="35" t="n"/>
      <c r="C813" s="35" t="n"/>
      <c r="D813" s="35" t="n"/>
      <c r="E813" s="36" t="n"/>
      <c r="F813" s="37">
        <f>IF($A813="","",TEXT($A813,"yyyy-mm"))</f>
        <v/>
      </c>
      <c r="G813" s="38" t="n"/>
      <c r="H813" s="37" t="n"/>
    </row>
    <row r="814">
      <c r="A814" s="34" t="n"/>
      <c r="B814" s="35" t="n"/>
      <c r="C814" s="35" t="n"/>
      <c r="D814" s="35" t="n"/>
      <c r="E814" s="36" t="n"/>
      <c r="F814" s="37">
        <f>IF($A814="","",TEXT($A814,"yyyy-mm"))</f>
        <v/>
      </c>
      <c r="G814" s="38" t="n"/>
      <c r="H814" s="37" t="n"/>
    </row>
    <row r="815">
      <c r="A815" s="34" t="n"/>
      <c r="B815" s="35" t="n"/>
      <c r="C815" s="35" t="n"/>
      <c r="D815" s="35" t="n"/>
      <c r="E815" s="36" t="n"/>
      <c r="F815" s="37">
        <f>IF($A815="","",TEXT($A815,"yyyy-mm"))</f>
        <v/>
      </c>
      <c r="G815" s="38" t="n"/>
      <c r="H815" s="37" t="n"/>
    </row>
    <row r="816">
      <c r="A816" s="34" t="n"/>
      <c r="B816" s="35" t="n"/>
      <c r="C816" s="35" t="n"/>
      <c r="D816" s="35" t="n"/>
      <c r="E816" s="36" t="n"/>
      <c r="F816" s="37">
        <f>IF($A816="","",TEXT($A816,"yyyy-mm"))</f>
        <v/>
      </c>
      <c r="G816" s="38" t="n"/>
      <c r="H816" s="37" t="n"/>
    </row>
    <row r="817">
      <c r="A817" s="34" t="n"/>
      <c r="B817" s="35" t="n"/>
      <c r="C817" s="35" t="n"/>
      <c r="D817" s="35" t="n"/>
      <c r="E817" s="36" t="n"/>
      <c r="F817" s="37">
        <f>IF($A817="","",TEXT($A817,"yyyy-mm"))</f>
        <v/>
      </c>
      <c r="G817" s="38" t="n"/>
      <c r="H817" s="37" t="n"/>
    </row>
    <row r="818">
      <c r="A818" s="34" t="n"/>
      <c r="B818" s="35" t="n"/>
      <c r="C818" s="35" t="n"/>
      <c r="D818" s="35" t="n"/>
      <c r="E818" s="36" t="n"/>
      <c r="F818" s="37">
        <f>IF($A818="","",TEXT($A818,"yyyy-mm"))</f>
        <v/>
      </c>
      <c r="G818" s="38" t="n"/>
      <c r="H818" s="37" t="n"/>
    </row>
    <row r="819">
      <c r="A819" s="34" t="n"/>
      <c r="B819" s="35" t="n"/>
      <c r="C819" s="35" t="n"/>
      <c r="D819" s="35" t="n"/>
      <c r="E819" s="36" t="n"/>
      <c r="F819" s="37">
        <f>IF($A819="","",TEXT($A819,"yyyy-mm"))</f>
        <v/>
      </c>
      <c r="G819" s="38" t="n"/>
      <c r="H819" s="37" t="n"/>
    </row>
    <row r="820">
      <c r="A820" s="34" t="n"/>
      <c r="B820" s="35" t="n"/>
      <c r="C820" s="35" t="n"/>
      <c r="D820" s="35" t="n"/>
      <c r="E820" s="36" t="n"/>
      <c r="F820" s="37">
        <f>IF($A820="","",TEXT($A820,"yyyy-mm"))</f>
        <v/>
      </c>
      <c r="G820" s="38" t="n"/>
      <c r="H820" s="37" t="n"/>
    </row>
    <row r="821">
      <c r="A821" s="34" t="n"/>
      <c r="B821" s="35" t="n"/>
      <c r="C821" s="35" t="n"/>
      <c r="D821" s="35" t="n"/>
      <c r="E821" s="36" t="n"/>
      <c r="F821" s="37">
        <f>IF($A821="","",TEXT($A821,"yyyy-mm"))</f>
        <v/>
      </c>
      <c r="G821" s="38" t="n"/>
      <c r="H821" s="37" t="n"/>
    </row>
    <row r="822">
      <c r="A822" s="34" t="n"/>
      <c r="B822" s="35" t="n"/>
      <c r="C822" s="35" t="n"/>
      <c r="D822" s="35" t="n"/>
      <c r="E822" s="36" t="n"/>
      <c r="F822" s="37">
        <f>IF($A822="","",TEXT($A822,"yyyy-mm"))</f>
        <v/>
      </c>
      <c r="G822" s="38" t="n"/>
      <c r="H822" s="37" t="n"/>
    </row>
    <row r="823">
      <c r="A823" s="34" t="n"/>
      <c r="B823" s="35" t="n"/>
      <c r="C823" s="35" t="n"/>
      <c r="D823" s="35" t="n"/>
      <c r="E823" s="36" t="n"/>
      <c r="F823" s="37">
        <f>IF($A823="","",TEXT($A823,"yyyy-mm"))</f>
        <v/>
      </c>
      <c r="G823" s="38" t="n"/>
      <c r="H823" s="37" t="n"/>
    </row>
    <row r="824">
      <c r="A824" s="34" t="n"/>
      <c r="B824" s="35" t="n"/>
      <c r="C824" s="35" t="n"/>
      <c r="D824" s="35" t="n"/>
      <c r="E824" s="36" t="n"/>
      <c r="F824" s="37">
        <f>IF($A824="","",TEXT($A824,"yyyy-mm"))</f>
        <v/>
      </c>
      <c r="G824" s="38" t="n"/>
      <c r="H824" s="37" t="n"/>
    </row>
    <row r="825">
      <c r="A825" s="34" t="n"/>
      <c r="B825" s="35" t="n"/>
      <c r="C825" s="35" t="n"/>
      <c r="D825" s="35" t="n"/>
      <c r="E825" s="36" t="n"/>
      <c r="F825" s="37">
        <f>IF($A825="","",TEXT($A825,"yyyy-mm"))</f>
        <v/>
      </c>
      <c r="G825" s="38" t="n"/>
      <c r="H825" s="37" t="n"/>
    </row>
    <row r="826">
      <c r="A826" s="34" t="n"/>
      <c r="B826" s="35" t="n"/>
      <c r="C826" s="35" t="n"/>
      <c r="D826" s="35" t="n"/>
      <c r="E826" s="36" t="n"/>
      <c r="F826" s="37">
        <f>IF($A826="","",TEXT($A826,"yyyy-mm"))</f>
        <v/>
      </c>
      <c r="G826" s="38" t="n"/>
      <c r="H826" s="37" t="n"/>
    </row>
    <row r="827">
      <c r="A827" s="34" t="n"/>
      <c r="B827" s="35" t="n"/>
      <c r="C827" s="35" t="n"/>
      <c r="D827" s="35" t="n"/>
      <c r="E827" s="36" t="n"/>
      <c r="F827" s="37">
        <f>IF($A827="","",TEXT($A827,"yyyy-mm"))</f>
        <v/>
      </c>
      <c r="G827" s="38" t="n"/>
      <c r="H827" s="37" t="n"/>
    </row>
    <row r="828">
      <c r="A828" s="34" t="n"/>
      <c r="B828" s="35" t="n"/>
      <c r="C828" s="35" t="n"/>
      <c r="D828" s="35" t="n"/>
      <c r="E828" s="36" t="n"/>
      <c r="F828" s="37">
        <f>IF($A828="","",TEXT($A828,"yyyy-mm"))</f>
        <v/>
      </c>
      <c r="G828" s="38" t="n"/>
      <c r="H828" s="37" t="n"/>
    </row>
    <row r="829">
      <c r="A829" s="34" t="n"/>
      <c r="B829" s="35" t="n"/>
      <c r="C829" s="35" t="n"/>
      <c r="D829" s="35" t="n"/>
      <c r="E829" s="36" t="n"/>
      <c r="F829" s="37">
        <f>IF($A829="","",TEXT($A829,"yyyy-mm"))</f>
        <v/>
      </c>
      <c r="G829" s="38" t="n"/>
      <c r="H829" s="37" t="n"/>
    </row>
    <row r="830">
      <c r="A830" s="34" t="n"/>
      <c r="B830" s="35" t="n"/>
      <c r="C830" s="35" t="n"/>
      <c r="D830" s="35" t="n"/>
      <c r="E830" s="36" t="n"/>
      <c r="F830" s="37">
        <f>IF($A830="","",TEXT($A830,"yyyy-mm"))</f>
        <v/>
      </c>
      <c r="G830" s="38" t="n"/>
      <c r="H830" s="37" t="n"/>
    </row>
    <row r="831">
      <c r="A831" s="34" t="n"/>
      <c r="B831" s="35" t="n"/>
      <c r="C831" s="35" t="n"/>
      <c r="D831" s="35" t="n"/>
      <c r="E831" s="36" t="n"/>
      <c r="F831" s="37">
        <f>IF($A831="","",TEXT($A831,"yyyy-mm"))</f>
        <v/>
      </c>
      <c r="G831" s="38" t="n"/>
      <c r="H831" s="37" t="n"/>
    </row>
    <row r="832">
      <c r="A832" s="34" t="n"/>
      <c r="B832" s="35" t="n"/>
      <c r="C832" s="35" t="n"/>
      <c r="D832" s="35" t="n"/>
      <c r="E832" s="36" t="n"/>
      <c r="F832" s="37">
        <f>IF($A832="","",TEXT($A832,"yyyy-mm"))</f>
        <v/>
      </c>
      <c r="G832" s="38" t="n"/>
      <c r="H832" s="37" t="n"/>
    </row>
    <row r="833">
      <c r="A833" s="34" t="n"/>
      <c r="B833" s="35" t="n"/>
      <c r="C833" s="35" t="n"/>
      <c r="D833" s="35" t="n"/>
      <c r="E833" s="36" t="n"/>
      <c r="F833" s="37">
        <f>IF($A833="","",TEXT($A833,"yyyy-mm"))</f>
        <v/>
      </c>
      <c r="G833" s="38" t="n"/>
      <c r="H833" s="37" t="n"/>
    </row>
    <row r="834">
      <c r="A834" s="34" t="n"/>
      <c r="B834" s="35" t="n"/>
      <c r="C834" s="35" t="n"/>
      <c r="D834" s="35" t="n"/>
      <c r="E834" s="36" t="n"/>
      <c r="F834" s="37">
        <f>IF($A834="","",TEXT($A834,"yyyy-mm"))</f>
        <v/>
      </c>
      <c r="G834" s="38" t="n"/>
      <c r="H834" s="37" t="n"/>
    </row>
    <row r="835">
      <c r="A835" s="34" t="n"/>
      <c r="B835" s="35" t="n"/>
      <c r="C835" s="35" t="n"/>
      <c r="D835" s="35" t="n"/>
      <c r="E835" s="36" t="n"/>
      <c r="F835" s="37">
        <f>IF($A835="","",TEXT($A835,"yyyy-mm"))</f>
        <v/>
      </c>
      <c r="G835" s="38" t="n"/>
      <c r="H835" s="37" t="n"/>
    </row>
    <row r="836">
      <c r="A836" s="34" t="n"/>
      <c r="B836" s="35" t="n"/>
      <c r="C836" s="35" t="n"/>
      <c r="D836" s="35" t="n"/>
      <c r="E836" s="36" t="n"/>
      <c r="F836" s="37">
        <f>IF($A836="","",TEXT($A836,"yyyy-mm"))</f>
        <v/>
      </c>
      <c r="G836" s="38" t="n"/>
      <c r="H836" s="37" t="n"/>
    </row>
    <row r="837">
      <c r="A837" s="34" t="n"/>
      <c r="B837" s="35" t="n"/>
      <c r="C837" s="35" t="n"/>
      <c r="D837" s="35" t="n"/>
      <c r="E837" s="36" t="n"/>
      <c r="F837" s="37">
        <f>IF($A837="","",TEXT($A837,"yyyy-mm"))</f>
        <v/>
      </c>
      <c r="G837" s="38" t="n"/>
      <c r="H837" s="37" t="n"/>
    </row>
    <row r="838">
      <c r="A838" s="34" t="n"/>
      <c r="B838" s="35" t="n"/>
      <c r="C838" s="35" t="n"/>
      <c r="D838" s="35" t="n"/>
      <c r="E838" s="36" t="n"/>
      <c r="F838" s="37">
        <f>IF($A838="","",TEXT($A838,"yyyy-mm"))</f>
        <v/>
      </c>
      <c r="G838" s="38" t="n"/>
      <c r="H838" s="37" t="n"/>
    </row>
    <row r="839">
      <c r="A839" s="34" t="n"/>
      <c r="B839" s="35" t="n"/>
      <c r="C839" s="35" t="n"/>
      <c r="D839" s="35" t="n"/>
      <c r="E839" s="36" t="n"/>
      <c r="F839" s="37">
        <f>IF($A839="","",TEXT($A839,"yyyy-mm"))</f>
        <v/>
      </c>
      <c r="G839" s="38" t="n"/>
      <c r="H839" s="37" t="n"/>
    </row>
    <row r="840">
      <c r="A840" s="34" t="n"/>
      <c r="B840" s="35" t="n"/>
      <c r="C840" s="35" t="n"/>
      <c r="D840" s="35" t="n"/>
      <c r="E840" s="36" t="n"/>
      <c r="F840" s="37">
        <f>IF($A840="","",TEXT($A840,"yyyy-mm"))</f>
        <v/>
      </c>
      <c r="G840" s="38" t="n"/>
      <c r="H840" s="37" t="n"/>
    </row>
    <row r="841">
      <c r="A841" s="34" t="n"/>
      <c r="B841" s="35" t="n"/>
      <c r="C841" s="35" t="n"/>
      <c r="D841" s="35" t="n"/>
      <c r="E841" s="36" t="n"/>
      <c r="F841" s="37">
        <f>IF($A841="","",TEXT($A841,"yyyy-mm"))</f>
        <v/>
      </c>
      <c r="G841" s="38" t="n"/>
      <c r="H841" s="37" t="n"/>
    </row>
    <row r="842">
      <c r="A842" s="34" t="n"/>
      <c r="B842" s="35" t="n"/>
      <c r="C842" s="35" t="n"/>
      <c r="D842" s="35" t="n"/>
      <c r="E842" s="36" t="n"/>
      <c r="F842" s="37">
        <f>IF($A842="","",TEXT($A842,"yyyy-mm"))</f>
        <v/>
      </c>
      <c r="G842" s="38" t="n"/>
      <c r="H842" s="37" t="n"/>
    </row>
    <row r="843">
      <c r="A843" s="34" t="n"/>
      <c r="B843" s="35" t="n"/>
      <c r="C843" s="35" t="n"/>
      <c r="D843" s="35" t="n"/>
      <c r="E843" s="36" t="n"/>
      <c r="F843" s="37">
        <f>IF($A843="","",TEXT($A843,"yyyy-mm"))</f>
        <v/>
      </c>
      <c r="G843" s="38" t="n"/>
      <c r="H843" s="37" t="n"/>
    </row>
    <row r="844">
      <c r="A844" s="34" t="n"/>
      <c r="B844" s="35" t="n"/>
      <c r="C844" s="35" t="n"/>
      <c r="D844" s="35" t="n"/>
      <c r="E844" s="36" t="n"/>
      <c r="F844" s="37">
        <f>IF($A844="","",TEXT($A844,"yyyy-mm"))</f>
        <v/>
      </c>
      <c r="G844" s="38" t="n"/>
      <c r="H844" s="37" t="n"/>
    </row>
    <row r="845">
      <c r="A845" s="34" t="n"/>
      <c r="B845" s="35" t="n"/>
      <c r="C845" s="35" t="n"/>
      <c r="D845" s="35" t="n"/>
      <c r="E845" s="36" t="n"/>
      <c r="F845" s="37">
        <f>IF($A845="","",TEXT($A845,"yyyy-mm"))</f>
        <v/>
      </c>
      <c r="G845" s="38" t="n"/>
      <c r="H845" s="37" t="n"/>
    </row>
    <row r="846">
      <c r="A846" s="34" t="n"/>
      <c r="B846" s="35" t="n"/>
      <c r="C846" s="35" t="n"/>
      <c r="D846" s="35" t="n"/>
      <c r="E846" s="36" t="n"/>
      <c r="F846" s="37">
        <f>IF($A846="","",TEXT($A846,"yyyy-mm"))</f>
        <v/>
      </c>
      <c r="G846" s="38" t="n"/>
      <c r="H846" s="37" t="n"/>
    </row>
    <row r="847">
      <c r="A847" s="34" t="n"/>
      <c r="B847" s="35" t="n"/>
      <c r="C847" s="35" t="n"/>
      <c r="D847" s="35" t="n"/>
      <c r="E847" s="36" t="n"/>
      <c r="F847" s="37">
        <f>IF($A847="","",TEXT($A847,"yyyy-mm"))</f>
        <v/>
      </c>
      <c r="G847" s="38" t="n"/>
      <c r="H847" s="37" t="n"/>
    </row>
    <row r="848">
      <c r="A848" s="34" t="n"/>
      <c r="B848" s="35" t="n"/>
      <c r="C848" s="35" t="n"/>
      <c r="D848" s="35" t="n"/>
      <c r="E848" s="36" t="n"/>
      <c r="F848" s="37">
        <f>IF($A848="","",TEXT($A848,"yyyy-mm"))</f>
        <v/>
      </c>
      <c r="G848" s="38" t="n"/>
      <c r="H848" s="37" t="n"/>
    </row>
    <row r="849">
      <c r="A849" s="34" t="n"/>
      <c r="B849" s="35" t="n"/>
      <c r="C849" s="35" t="n"/>
      <c r="D849" s="35" t="n"/>
      <c r="E849" s="36" t="n"/>
      <c r="F849" s="37">
        <f>IF($A849="","",TEXT($A849,"yyyy-mm"))</f>
        <v/>
      </c>
      <c r="G849" s="38" t="n"/>
      <c r="H849" s="37" t="n"/>
    </row>
    <row r="850">
      <c r="A850" s="34" t="n"/>
      <c r="B850" s="35" t="n"/>
      <c r="C850" s="35" t="n"/>
      <c r="D850" s="35" t="n"/>
      <c r="E850" s="36" t="n"/>
      <c r="F850" s="37">
        <f>IF($A850="","",TEXT($A850,"yyyy-mm"))</f>
        <v/>
      </c>
      <c r="G850" s="38" t="n"/>
      <c r="H850" s="37" t="n"/>
    </row>
    <row r="851">
      <c r="A851" s="34" t="n"/>
      <c r="B851" s="35" t="n"/>
      <c r="C851" s="35" t="n"/>
      <c r="D851" s="35" t="n"/>
      <c r="E851" s="36" t="n"/>
      <c r="F851" s="37">
        <f>IF($A851="","",TEXT($A851,"yyyy-mm"))</f>
        <v/>
      </c>
      <c r="G851" s="38" t="n"/>
      <c r="H851" s="37" t="n"/>
    </row>
    <row r="852">
      <c r="A852" s="34" t="n"/>
      <c r="B852" s="35" t="n"/>
      <c r="C852" s="35" t="n"/>
      <c r="D852" s="35" t="n"/>
      <c r="E852" s="36" t="n"/>
      <c r="F852" s="37">
        <f>IF($A852="","",TEXT($A852,"yyyy-mm"))</f>
        <v/>
      </c>
      <c r="G852" s="38" t="n"/>
      <c r="H852" s="37" t="n"/>
    </row>
    <row r="853">
      <c r="A853" s="34" t="n"/>
      <c r="B853" s="35" t="n"/>
      <c r="C853" s="35" t="n"/>
      <c r="D853" s="35" t="n"/>
      <c r="E853" s="36" t="n"/>
      <c r="F853" s="37">
        <f>IF($A853="","",TEXT($A853,"yyyy-mm"))</f>
        <v/>
      </c>
      <c r="G853" s="38" t="n"/>
      <c r="H853" s="37" t="n"/>
    </row>
    <row r="854">
      <c r="A854" s="34" t="n"/>
      <c r="B854" s="35" t="n"/>
      <c r="C854" s="35" t="n"/>
      <c r="D854" s="35" t="n"/>
      <c r="E854" s="36" t="n"/>
      <c r="F854" s="37">
        <f>IF($A854="","",TEXT($A854,"yyyy-mm"))</f>
        <v/>
      </c>
      <c r="G854" s="38" t="n"/>
      <c r="H854" s="37" t="n"/>
    </row>
    <row r="855">
      <c r="A855" s="34" t="n"/>
      <c r="B855" s="35" t="n"/>
      <c r="C855" s="35" t="n"/>
      <c r="D855" s="35" t="n"/>
      <c r="E855" s="36" t="n"/>
      <c r="F855" s="37">
        <f>IF($A855="","",TEXT($A855,"yyyy-mm"))</f>
        <v/>
      </c>
      <c r="G855" s="38" t="n"/>
      <c r="H855" s="37" t="n"/>
    </row>
    <row r="856">
      <c r="A856" s="34" t="n"/>
      <c r="B856" s="35" t="n"/>
      <c r="C856" s="35" t="n"/>
      <c r="D856" s="35" t="n"/>
      <c r="E856" s="36" t="n"/>
      <c r="F856" s="37">
        <f>IF($A856="","",TEXT($A856,"yyyy-mm"))</f>
        <v/>
      </c>
      <c r="G856" s="38" t="n"/>
      <c r="H856" s="37" t="n"/>
    </row>
    <row r="857">
      <c r="A857" s="34" t="n"/>
      <c r="B857" s="35" t="n"/>
      <c r="C857" s="35" t="n"/>
      <c r="D857" s="35" t="n"/>
      <c r="E857" s="36" t="n"/>
      <c r="F857" s="37">
        <f>IF($A857="","",TEXT($A857,"yyyy-mm"))</f>
        <v/>
      </c>
      <c r="G857" s="38" t="n"/>
      <c r="H857" s="37" t="n"/>
    </row>
    <row r="858">
      <c r="A858" s="34" t="n"/>
      <c r="B858" s="35" t="n"/>
      <c r="C858" s="35" t="n"/>
      <c r="D858" s="35" t="n"/>
      <c r="E858" s="36" t="n"/>
      <c r="F858" s="37">
        <f>IF($A858="","",TEXT($A858,"yyyy-mm"))</f>
        <v/>
      </c>
      <c r="G858" s="38" t="n"/>
      <c r="H858" s="37" t="n"/>
    </row>
    <row r="859">
      <c r="A859" s="34" t="n"/>
      <c r="B859" s="35" t="n"/>
      <c r="C859" s="35" t="n"/>
      <c r="D859" s="35" t="n"/>
      <c r="E859" s="36" t="n"/>
      <c r="F859" s="37">
        <f>IF($A859="","",TEXT($A859,"yyyy-mm"))</f>
        <v/>
      </c>
      <c r="G859" s="38" t="n"/>
      <c r="H859" s="37" t="n"/>
    </row>
    <row r="860">
      <c r="A860" s="34" t="n"/>
      <c r="B860" s="35" t="n"/>
      <c r="C860" s="35" t="n"/>
      <c r="D860" s="35" t="n"/>
      <c r="E860" s="36" t="n"/>
      <c r="F860" s="37">
        <f>IF($A860="","",TEXT($A860,"yyyy-mm"))</f>
        <v/>
      </c>
      <c r="G860" s="38" t="n"/>
      <c r="H860" s="37" t="n"/>
    </row>
    <row r="861">
      <c r="A861" s="34" t="n"/>
      <c r="B861" s="35" t="n"/>
      <c r="C861" s="35" t="n"/>
      <c r="D861" s="35" t="n"/>
      <c r="E861" s="36" t="n"/>
      <c r="F861" s="37">
        <f>IF($A861="","",TEXT($A861,"yyyy-mm"))</f>
        <v/>
      </c>
      <c r="G861" s="38" t="n"/>
      <c r="H861" s="37" t="n"/>
    </row>
    <row r="862">
      <c r="A862" s="34" t="n"/>
      <c r="B862" s="35" t="n"/>
      <c r="C862" s="35" t="n"/>
      <c r="D862" s="35" t="n"/>
      <c r="E862" s="36" t="n"/>
      <c r="F862" s="37">
        <f>IF($A862="","",TEXT($A862,"yyyy-mm"))</f>
        <v/>
      </c>
      <c r="G862" s="38" t="n"/>
      <c r="H862" s="37" t="n"/>
    </row>
    <row r="863">
      <c r="A863" s="34" t="n"/>
      <c r="B863" s="35" t="n"/>
      <c r="C863" s="35" t="n"/>
      <c r="D863" s="35" t="n"/>
      <c r="E863" s="36" t="n"/>
      <c r="F863" s="37">
        <f>IF($A863="","",TEXT($A863,"yyyy-mm"))</f>
        <v/>
      </c>
      <c r="G863" s="38" t="n"/>
      <c r="H863" s="37" t="n"/>
    </row>
    <row r="864">
      <c r="A864" s="34" t="n"/>
      <c r="B864" s="35" t="n"/>
      <c r="C864" s="35" t="n"/>
      <c r="D864" s="35" t="n"/>
      <c r="E864" s="36" t="n"/>
      <c r="F864" s="37">
        <f>IF($A864="","",TEXT($A864,"yyyy-mm"))</f>
        <v/>
      </c>
      <c r="G864" s="38" t="n"/>
      <c r="H864" s="37" t="n"/>
    </row>
    <row r="865">
      <c r="A865" s="34" t="n"/>
      <c r="B865" s="35" t="n"/>
      <c r="C865" s="35" t="n"/>
      <c r="D865" s="35" t="n"/>
      <c r="E865" s="36" t="n"/>
      <c r="F865" s="37">
        <f>IF($A865="","",TEXT($A865,"yyyy-mm"))</f>
        <v/>
      </c>
      <c r="G865" s="38" t="n"/>
      <c r="H865" s="37" t="n"/>
    </row>
    <row r="866">
      <c r="A866" s="34" t="n"/>
      <c r="B866" s="35" t="n"/>
      <c r="C866" s="35" t="n"/>
      <c r="D866" s="35" t="n"/>
      <c r="E866" s="36" t="n"/>
      <c r="F866" s="37">
        <f>IF($A866="","",TEXT($A866,"yyyy-mm"))</f>
        <v/>
      </c>
      <c r="G866" s="38" t="n"/>
      <c r="H866" s="37" t="n"/>
    </row>
    <row r="867">
      <c r="A867" s="34" t="n"/>
      <c r="B867" s="35" t="n"/>
      <c r="C867" s="35" t="n"/>
      <c r="D867" s="35" t="n"/>
      <c r="E867" s="36" t="n"/>
      <c r="F867" s="37">
        <f>IF($A867="","",TEXT($A867,"yyyy-mm"))</f>
        <v/>
      </c>
      <c r="G867" s="38" t="n"/>
      <c r="H867" s="37" t="n"/>
    </row>
    <row r="868">
      <c r="A868" s="34" t="n"/>
      <c r="B868" s="35" t="n"/>
      <c r="C868" s="35" t="n"/>
      <c r="D868" s="35" t="n"/>
      <c r="E868" s="36" t="n"/>
      <c r="F868" s="37">
        <f>IF($A868="","",TEXT($A868,"yyyy-mm"))</f>
        <v/>
      </c>
      <c r="G868" s="38" t="n"/>
      <c r="H868" s="37" t="n"/>
    </row>
    <row r="869">
      <c r="A869" s="34" t="n"/>
      <c r="B869" s="35" t="n"/>
      <c r="C869" s="35" t="n"/>
      <c r="D869" s="35" t="n"/>
      <c r="E869" s="36" t="n"/>
      <c r="F869" s="37">
        <f>IF($A869="","",TEXT($A869,"yyyy-mm"))</f>
        <v/>
      </c>
      <c r="G869" s="38" t="n"/>
      <c r="H869" s="37" t="n"/>
    </row>
    <row r="870">
      <c r="A870" s="34" t="n"/>
      <c r="B870" s="35" t="n"/>
      <c r="C870" s="35" t="n"/>
      <c r="D870" s="35" t="n"/>
      <c r="E870" s="36" t="n"/>
      <c r="F870" s="37">
        <f>IF($A870="","",TEXT($A870,"yyyy-mm"))</f>
        <v/>
      </c>
      <c r="G870" s="38" t="n"/>
      <c r="H870" s="37" t="n"/>
    </row>
    <row r="871">
      <c r="A871" s="34" t="n"/>
      <c r="B871" s="35" t="n"/>
      <c r="C871" s="35" t="n"/>
      <c r="D871" s="35" t="n"/>
      <c r="E871" s="36" t="n"/>
      <c r="F871" s="37">
        <f>IF($A871="","",TEXT($A871,"yyyy-mm"))</f>
        <v/>
      </c>
      <c r="G871" s="38" t="n"/>
      <c r="H871" s="37" t="n"/>
    </row>
    <row r="872">
      <c r="A872" s="34" t="n"/>
      <c r="B872" s="35" t="n"/>
      <c r="C872" s="35" t="n"/>
      <c r="D872" s="35" t="n"/>
      <c r="E872" s="36" t="n"/>
      <c r="F872" s="37">
        <f>IF($A872="","",TEXT($A872,"yyyy-mm"))</f>
        <v/>
      </c>
      <c r="G872" s="38" t="n"/>
      <c r="H872" s="37" t="n"/>
    </row>
    <row r="873">
      <c r="A873" s="34" t="n"/>
      <c r="B873" s="35" t="n"/>
      <c r="C873" s="35" t="n"/>
      <c r="D873" s="35" t="n"/>
      <c r="E873" s="36" t="n"/>
      <c r="F873" s="37">
        <f>IF($A873="","",TEXT($A873,"yyyy-mm"))</f>
        <v/>
      </c>
      <c r="G873" s="38" t="n"/>
      <c r="H873" s="37" t="n"/>
    </row>
    <row r="874">
      <c r="A874" s="34" t="n"/>
      <c r="B874" s="35" t="n"/>
      <c r="C874" s="35" t="n"/>
      <c r="D874" s="35" t="n"/>
      <c r="E874" s="36" t="n"/>
      <c r="F874" s="37">
        <f>IF($A874="","",TEXT($A874,"yyyy-mm"))</f>
        <v/>
      </c>
      <c r="G874" s="38" t="n"/>
      <c r="H874" s="37" t="n"/>
    </row>
    <row r="875">
      <c r="A875" s="34" t="n"/>
      <c r="B875" s="35" t="n"/>
      <c r="C875" s="35" t="n"/>
      <c r="D875" s="35" t="n"/>
      <c r="E875" s="36" t="n"/>
      <c r="F875" s="37">
        <f>IF($A875="","",TEXT($A875,"yyyy-mm"))</f>
        <v/>
      </c>
      <c r="G875" s="38" t="n"/>
      <c r="H875" s="37" t="n"/>
    </row>
    <row r="876">
      <c r="A876" s="34" t="n"/>
      <c r="B876" s="35" t="n"/>
      <c r="C876" s="35" t="n"/>
      <c r="D876" s="35" t="n"/>
      <c r="E876" s="36" t="n"/>
      <c r="F876" s="37">
        <f>IF($A876="","",TEXT($A876,"yyyy-mm"))</f>
        <v/>
      </c>
      <c r="G876" s="38" t="n"/>
      <c r="H876" s="37" t="n"/>
    </row>
    <row r="877">
      <c r="A877" s="34" t="n"/>
      <c r="B877" s="35" t="n"/>
      <c r="C877" s="35" t="n"/>
      <c r="D877" s="35" t="n"/>
      <c r="E877" s="36" t="n"/>
      <c r="F877" s="37">
        <f>IF($A877="","",TEXT($A877,"yyyy-mm"))</f>
        <v/>
      </c>
      <c r="G877" s="38" t="n"/>
      <c r="H877" s="37" t="n"/>
    </row>
    <row r="878">
      <c r="A878" s="34" t="n"/>
      <c r="B878" s="35" t="n"/>
      <c r="C878" s="35" t="n"/>
      <c r="D878" s="35" t="n"/>
      <c r="E878" s="36" t="n"/>
      <c r="F878" s="37">
        <f>IF($A878="","",TEXT($A878,"yyyy-mm"))</f>
        <v/>
      </c>
      <c r="G878" s="38" t="n"/>
      <c r="H878" s="37" t="n"/>
    </row>
    <row r="879">
      <c r="A879" s="34" t="n"/>
      <c r="B879" s="35" t="n"/>
      <c r="C879" s="35" t="n"/>
      <c r="D879" s="35" t="n"/>
      <c r="E879" s="36" t="n"/>
      <c r="F879" s="37">
        <f>IF($A879="","",TEXT($A879,"yyyy-mm"))</f>
        <v/>
      </c>
      <c r="G879" s="38" t="n"/>
      <c r="H879" s="37" t="n"/>
    </row>
    <row r="880">
      <c r="A880" s="34" t="n"/>
      <c r="B880" s="35" t="n"/>
      <c r="C880" s="35" t="n"/>
      <c r="D880" s="35" t="n"/>
      <c r="E880" s="36" t="n"/>
      <c r="F880" s="37">
        <f>IF($A880="","",TEXT($A880,"yyyy-mm"))</f>
        <v/>
      </c>
      <c r="G880" s="38" t="n"/>
      <c r="H880" s="37" t="n"/>
    </row>
    <row r="881">
      <c r="A881" s="34" t="n"/>
      <c r="B881" s="35" t="n"/>
      <c r="C881" s="35" t="n"/>
      <c r="D881" s="35" t="n"/>
      <c r="E881" s="36" t="n"/>
      <c r="F881" s="37">
        <f>IF($A881="","",TEXT($A881,"yyyy-mm"))</f>
        <v/>
      </c>
      <c r="G881" s="38" t="n"/>
      <c r="H881" s="37" t="n"/>
    </row>
    <row r="882">
      <c r="A882" s="34" t="n"/>
      <c r="B882" s="35" t="n"/>
      <c r="C882" s="35" t="n"/>
      <c r="D882" s="35" t="n"/>
      <c r="E882" s="36" t="n"/>
      <c r="F882" s="37">
        <f>IF($A882="","",TEXT($A882,"yyyy-mm"))</f>
        <v/>
      </c>
      <c r="G882" s="38" t="n"/>
      <c r="H882" s="37" t="n"/>
    </row>
    <row r="883">
      <c r="A883" s="34" t="n"/>
      <c r="B883" s="35" t="n"/>
      <c r="C883" s="35" t="n"/>
      <c r="D883" s="35" t="n"/>
      <c r="E883" s="36" t="n"/>
      <c r="F883" s="37">
        <f>IF($A883="","",TEXT($A883,"yyyy-mm"))</f>
        <v/>
      </c>
      <c r="G883" s="38" t="n"/>
      <c r="H883" s="37" t="n"/>
    </row>
    <row r="884">
      <c r="A884" s="34" t="n"/>
      <c r="B884" s="35" t="n"/>
      <c r="C884" s="35" t="n"/>
      <c r="D884" s="35" t="n"/>
      <c r="E884" s="36" t="n"/>
      <c r="F884" s="37">
        <f>IF($A884="","",TEXT($A884,"yyyy-mm"))</f>
        <v/>
      </c>
      <c r="G884" s="38" t="n"/>
      <c r="H884" s="37" t="n"/>
    </row>
    <row r="885">
      <c r="A885" s="34" t="n"/>
      <c r="B885" s="35" t="n"/>
      <c r="C885" s="35" t="n"/>
      <c r="D885" s="35" t="n"/>
      <c r="E885" s="36" t="n"/>
      <c r="F885" s="37">
        <f>IF($A885="","",TEXT($A885,"yyyy-mm"))</f>
        <v/>
      </c>
      <c r="G885" s="38" t="n"/>
      <c r="H885" s="37" t="n"/>
    </row>
    <row r="886">
      <c r="A886" s="34" t="n"/>
      <c r="B886" s="35" t="n"/>
      <c r="C886" s="35" t="n"/>
      <c r="D886" s="35" t="n"/>
      <c r="E886" s="36" t="n"/>
      <c r="F886" s="37">
        <f>IF($A886="","",TEXT($A886,"yyyy-mm"))</f>
        <v/>
      </c>
      <c r="G886" s="38" t="n"/>
      <c r="H886" s="37" t="n"/>
    </row>
    <row r="887">
      <c r="A887" s="34" t="n"/>
      <c r="B887" s="35" t="n"/>
      <c r="C887" s="35" t="n"/>
      <c r="D887" s="35" t="n"/>
      <c r="E887" s="36" t="n"/>
      <c r="F887" s="37">
        <f>IF($A887="","",TEXT($A887,"yyyy-mm"))</f>
        <v/>
      </c>
      <c r="G887" s="38" t="n"/>
      <c r="H887" s="37" t="n"/>
    </row>
    <row r="888">
      <c r="A888" s="34" t="n"/>
      <c r="B888" s="35" t="n"/>
      <c r="C888" s="35" t="n"/>
      <c r="D888" s="35" t="n"/>
      <c r="E888" s="36" t="n"/>
      <c r="F888" s="37">
        <f>IF($A888="","",TEXT($A888,"yyyy-mm"))</f>
        <v/>
      </c>
      <c r="G888" s="38" t="n"/>
      <c r="H888" s="37" t="n"/>
    </row>
    <row r="889">
      <c r="A889" s="34" t="n"/>
      <c r="B889" s="35" t="n"/>
      <c r="C889" s="35" t="n"/>
      <c r="D889" s="35" t="n"/>
      <c r="E889" s="36" t="n"/>
      <c r="F889" s="37">
        <f>IF($A889="","",TEXT($A889,"yyyy-mm"))</f>
        <v/>
      </c>
      <c r="G889" s="38" t="n"/>
      <c r="H889" s="37" t="n"/>
    </row>
    <row r="890">
      <c r="A890" s="34" t="n"/>
      <c r="B890" s="35" t="n"/>
      <c r="C890" s="35" t="n"/>
      <c r="D890" s="35" t="n"/>
      <c r="E890" s="36" t="n"/>
      <c r="F890" s="37">
        <f>IF($A890="","",TEXT($A890,"yyyy-mm"))</f>
        <v/>
      </c>
      <c r="G890" s="38" t="n"/>
      <c r="H890" s="37" t="n"/>
    </row>
    <row r="891">
      <c r="A891" s="34" t="n"/>
      <c r="B891" s="35" t="n"/>
      <c r="C891" s="35" t="n"/>
      <c r="D891" s="35" t="n"/>
      <c r="E891" s="36" t="n"/>
      <c r="F891" s="37">
        <f>IF($A891="","",TEXT($A891,"yyyy-mm"))</f>
        <v/>
      </c>
      <c r="G891" s="38" t="n"/>
      <c r="H891" s="37" t="n"/>
    </row>
    <row r="892">
      <c r="A892" s="34" t="n"/>
      <c r="B892" s="35" t="n"/>
      <c r="C892" s="35" t="n"/>
      <c r="D892" s="35" t="n"/>
      <c r="E892" s="36" t="n"/>
      <c r="F892" s="37">
        <f>IF($A892="","",TEXT($A892,"yyyy-mm"))</f>
        <v/>
      </c>
      <c r="G892" s="38" t="n"/>
      <c r="H892" s="37" t="n"/>
    </row>
    <row r="893">
      <c r="A893" s="34" t="n"/>
      <c r="B893" s="35" t="n"/>
      <c r="C893" s="35" t="n"/>
      <c r="D893" s="35" t="n"/>
      <c r="E893" s="36" t="n"/>
      <c r="F893" s="37">
        <f>IF($A893="","",TEXT($A893,"yyyy-mm"))</f>
        <v/>
      </c>
      <c r="G893" s="38" t="n"/>
      <c r="H893" s="37" t="n"/>
    </row>
    <row r="894">
      <c r="A894" s="34" t="n"/>
      <c r="B894" s="35" t="n"/>
      <c r="C894" s="35" t="n"/>
      <c r="D894" s="35" t="n"/>
      <c r="E894" s="36" t="n"/>
      <c r="F894" s="37">
        <f>IF($A894="","",TEXT($A894,"yyyy-mm"))</f>
        <v/>
      </c>
      <c r="G894" s="38" t="n"/>
      <c r="H894" s="37" t="n"/>
    </row>
    <row r="895">
      <c r="A895" s="34" t="n"/>
      <c r="B895" s="35" t="n"/>
      <c r="C895" s="35" t="n"/>
      <c r="D895" s="35" t="n"/>
      <c r="E895" s="36" t="n"/>
      <c r="F895" s="37">
        <f>IF($A895="","",TEXT($A895,"yyyy-mm"))</f>
        <v/>
      </c>
      <c r="G895" s="38" t="n"/>
      <c r="H895" s="37" t="n"/>
    </row>
    <row r="896">
      <c r="A896" s="34" t="n"/>
      <c r="B896" s="35" t="n"/>
      <c r="C896" s="35" t="n"/>
      <c r="D896" s="35" t="n"/>
      <c r="E896" s="36" t="n"/>
      <c r="F896" s="37">
        <f>IF($A896="","",TEXT($A896,"yyyy-mm"))</f>
        <v/>
      </c>
      <c r="G896" s="38" t="n"/>
      <c r="H896" s="37" t="n"/>
    </row>
    <row r="897">
      <c r="A897" s="34" t="n"/>
      <c r="B897" s="35" t="n"/>
      <c r="C897" s="35" t="n"/>
      <c r="D897" s="35" t="n"/>
      <c r="E897" s="36" t="n"/>
      <c r="F897" s="37">
        <f>IF($A897="","",TEXT($A897,"yyyy-mm"))</f>
        <v/>
      </c>
      <c r="G897" s="38" t="n"/>
      <c r="H897" s="37" t="n"/>
    </row>
    <row r="898">
      <c r="A898" s="34" t="n"/>
      <c r="B898" s="35" t="n"/>
      <c r="C898" s="35" t="n"/>
      <c r="D898" s="35" t="n"/>
      <c r="E898" s="36" t="n"/>
      <c r="F898" s="37">
        <f>IF($A898="","",TEXT($A898,"yyyy-mm"))</f>
        <v/>
      </c>
      <c r="G898" s="38" t="n"/>
      <c r="H898" s="37" t="n"/>
    </row>
    <row r="899">
      <c r="A899" s="34" t="n"/>
      <c r="B899" s="35" t="n"/>
      <c r="C899" s="35" t="n"/>
      <c r="D899" s="35" t="n"/>
      <c r="E899" s="36" t="n"/>
      <c r="F899" s="37">
        <f>IF($A899="","",TEXT($A899,"yyyy-mm"))</f>
        <v/>
      </c>
      <c r="G899" s="38" t="n"/>
      <c r="H899" s="37" t="n"/>
    </row>
    <row r="900">
      <c r="A900" s="34" t="n"/>
      <c r="B900" s="35" t="n"/>
      <c r="C900" s="35" t="n"/>
      <c r="D900" s="35" t="n"/>
      <c r="E900" s="36" t="n"/>
      <c r="F900" s="37">
        <f>IF($A900="","",TEXT($A900,"yyyy-mm"))</f>
        <v/>
      </c>
      <c r="G900" s="38" t="n"/>
      <c r="H900" s="37" t="n"/>
    </row>
    <row r="901">
      <c r="A901" s="34" t="n"/>
      <c r="B901" s="35" t="n"/>
      <c r="C901" s="35" t="n"/>
      <c r="D901" s="35" t="n"/>
      <c r="E901" s="36" t="n"/>
      <c r="F901" s="37">
        <f>IF($A901="","",TEXT($A901,"yyyy-mm"))</f>
        <v/>
      </c>
      <c r="G901" s="38" t="n"/>
      <c r="H901" s="37" t="n"/>
    </row>
    <row r="902">
      <c r="A902" s="34" t="n"/>
      <c r="B902" s="35" t="n"/>
      <c r="C902" s="35" t="n"/>
      <c r="D902" s="35" t="n"/>
      <c r="E902" s="36" t="n"/>
      <c r="F902" s="37">
        <f>IF($A902="","",TEXT($A902,"yyyy-mm"))</f>
        <v/>
      </c>
      <c r="G902" s="38" t="n"/>
      <c r="H902" s="37" t="n"/>
    </row>
    <row r="903">
      <c r="A903" s="34" t="n"/>
      <c r="B903" s="35" t="n"/>
      <c r="C903" s="35" t="n"/>
      <c r="D903" s="35" t="n"/>
      <c r="E903" s="36" t="n"/>
      <c r="F903" s="37">
        <f>IF($A903="","",TEXT($A903,"yyyy-mm"))</f>
        <v/>
      </c>
      <c r="G903" s="38" t="n"/>
      <c r="H903" s="37" t="n"/>
    </row>
    <row r="904">
      <c r="A904" s="34" t="n"/>
      <c r="B904" s="35" t="n"/>
      <c r="C904" s="35" t="n"/>
      <c r="D904" s="35" t="n"/>
      <c r="E904" s="36" t="n"/>
      <c r="F904" s="37">
        <f>IF($A904="","",TEXT($A904,"yyyy-mm"))</f>
        <v/>
      </c>
      <c r="G904" s="38" t="n"/>
      <c r="H904" s="37" t="n"/>
    </row>
    <row r="905">
      <c r="A905" s="34" t="n"/>
      <c r="B905" s="35" t="n"/>
      <c r="C905" s="35" t="n"/>
      <c r="D905" s="35" t="n"/>
      <c r="E905" s="36" t="n"/>
      <c r="F905" s="37">
        <f>IF($A905="","",TEXT($A905,"yyyy-mm"))</f>
        <v/>
      </c>
      <c r="G905" s="38" t="n"/>
      <c r="H905" s="37" t="n"/>
    </row>
  </sheetData>
  <mergeCells count="3">
    <mergeCell ref="A3:H3"/>
    <mergeCell ref="A2:H2"/>
    <mergeCell ref="A1:H1"/>
  </mergeCells>
  <conditionalFormatting sqref="A6:H905">
    <cfRule type="expression" priority="1" dxfId="3" stopIfTrue="0">
      <formula>$B6="Receita"</formula>
    </cfRule>
    <cfRule type="expression" priority="4" dxfId="4">
      <formula>AND($A6&lt;&gt;"",$B6="")</formula>
    </cfRule>
  </conditionalFormatting>
  <conditionalFormatting sqref="E6:E905">
    <cfRule type="expression" priority="2" dxfId="5">
      <formula>$B6="Despesa"</formula>
    </cfRule>
    <cfRule type="expression" priority="3" dxfId="2">
      <formula>$B6="Receita"</formula>
    </cfRule>
  </conditionalFormatting>
  <conditionalFormatting sqref="L7:L8">
    <cfRule type="cellIs" priority="5" operator="greaterThan" dxfId="5">
      <formula>0</formula>
    </cfRule>
  </conditionalFormatting>
  <dataValidations count="2">
    <dataValidation sqref="B6:B905" showDropDown="0" showInputMessage="0" showErrorMessage="0" allowBlank="1" error="Escolha Despesa ou Receita." type="list">
      <formula1>"Despesa,Receita"</formula1>
    </dataValidation>
    <dataValidation sqref="C6:C905" showDropDown="0" showInputMessage="0" showErrorMessage="0" allowBlank="1" error="Categoria fora da lista da aba Config." type="list">
      <formula1>=Config!$C$14:$C$27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4" customWidth="1" min="5" max="5"/>
    <col width="4" customWidth="1" min="6" max="6"/>
    <col width="20" customWidth="1" min="7" max="7"/>
    <col width="16" customWidth="1" min="8" max="8"/>
  </cols>
  <sheetData>
    <row r="1" ht="42" customHeight="1">
      <c r="A1" s="41" t="inlineStr">
        <is>
          <t>Finn.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42" t="inlineStr">
        <is>
          <t>Análises</t>
        </is>
      </c>
      <c r="B2" s="43" t="n"/>
      <c r="C2" s="43" t="n"/>
      <c r="D2" s="43" t="n"/>
      <c r="E2" s="43" t="n"/>
      <c r="F2" s="43" t="n"/>
      <c r="G2" s="43" t="n"/>
      <c r="H2" s="43" t="n"/>
    </row>
    <row r="3" ht="18" customHeight="1">
      <c r="A3" s="44" t="inlineStr">
        <is>
          <t>Os 12 meses do ano e o comportamento por categoria.</t>
        </is>
      </c>
      <c r="B3" s="43" t="n"/>
      <c r="C3" s="43" t="n"/>
      <c r="D3" s="43" t="n"/>
      <c r="E3" s="43" t="n"/>
      <c r="F3" s="43" t="n"/>
      <c r="G3" s="43" t="n"/>
      <c r="H3" s="43" t="n"/>
    </row>
    <row r="5">
      <c r="A5" s="45" t="inlineStr">
        <is>
          <t>Ano:</t>
        </is>
      </c>
      <c r="B5" s="46" t="n">
        <v>2026</v>
      </c>
    </row>
    <row r="7" ht="26" customHeight="1">
      <c r="A7" s="27" t="inlineStr">
        <is>
          <t>Mês</t>
        </is>
      </c>
      <c r="B7" s="27" t="inlineStr">
        <is>
          <t>Receitas</t>
        </is>
      </c>
      <c r="C7" s="27" t="inlineStr">
        <is>
          <t>Despesas</t>
        </is>
      </c>
      <c r="D7" s="27" t="inlineStr">
        <is>
          <t>Saldo</t>
        </is>
      </c>
      <c r="E7" s="27" t="inlineStr">
        <is>
          <t>Poupança %</t>
        </is>
      </c>
    </row>
    <row r="8">
      <c r="A8" s="28">
        <f>TEXT(DATE($B$5,1,1),"mmm")</f>
        <v/>
      </c>
      <c r="B8" s="47">
        <f>SUMIFS('Lançamentos'!$E$6:$E$905,'Lançamentos'!$F$6:$F$905,TEXT(DATE($B$5,1,1),"yyyy-mm"),'Lançamentos'!$B$6:$B$905,"Receita")</f>
        <v/>
      </c>
      <c r="C8" s="48">
        <f>SUMIFS('Lançamentos'!$E$6:$E$905,'Lançamentos'!$F$6:$F$905,TEXT(DATE($B$5,1,1),"yyyy-mm"),'Lançamentos'!$B$6:$B$905,"Despesa")</f>
        <v/>
      </c>
      <c r="D8" s="49">
        <f>$B8-$C8</f>
        <v/>
      </c>
      <c r="E8" s="30">
        <f>IFERROR(($B8-$C8)/$B8,0)</f>
        <v/>
      </c>
    </row>
    <row r="9">
      <c r="A9" s="28">
        <f>TEXT(DATE($B$5,2,1),"mmm")</f>
        <v/>
      </c>
      <c r="B9" s="47">
        <f>SUMIFS('Lançamentos'!$E$6:$E$905,'Lançamentos'!$F$6:$F$905,TEXT(DATE($B$5,2,1),"yyyy-mm"),'Lançamentos'!$B$6:$B$905,"Receita")</f>
        <v/>
      </c>
      <c r="C9" s="48">
        <f>SUMIFS('Lançamentos'!$E$6:$E$905,'Lançamentos'!$F$6:$F$905,TEXT(DATE($B$5,2,1),"yyyy-mm"),'Lançamentos'!$B$6:$B$905,"Despesa")</f>
        <v/>
      </c>
      <c r="D9" s="49">
        <f>$B9-$C9</f>
        <v/>
      </c>
      <c r="E9" s="30">
        <f>IFERROR(($B9-$C9)/$B9,0)</f>
        <v/>
      </c>
    </row>
    <row r="10">
      <c r="A10" s="28">
        <f>TEXT(DATE($B$5,3,1),"mmm")</f>
        <v/>
      </c>
      <c r="B10" s="47">
        <f>SUMIFS('Lançamentos'!$E$6:$E$905,'Lançamentos'!$F$6:$F$905,TEXT(DATE($B$5,3,1),"yyyy-mm"),'Lançamentos'!$B$6:$B$905,"Receita")</f>
        <v/>
      </c>
      <c r="C10" s="48">
        <f>SUMIFS('Lançamentos'!$E$6:$E$905,'Lançamentos'!$F$6:$F$905,TEXT(DATE($B$5,3,1),"yyyy-mm"),'Lançamentos'!$B$6:$B$905,"Despesa")</f>
        <v/>
      </c>
      <c r="D10" s="49">
        <f>$B10-$C10</f>
        <v/>
      </c>
      <c r="E10" s="30">
        <f>IFERROR(($B10-$C10)/$B10,0)</f>
        <v/>
      </c>
    </row>
    <row r="11">
      <c r="A11" s="28">
        <f>TEXT(DATE($B$5,4,1),"mmm")</f>
        <v/>
      </c>
      <c r="B11" s="47">
        <f>SUMIFS('Lançamentos'!$E$6:$E$905,'Lançamentos'!$F$6:$F$905,TEXT(DATE($B$5,4,1),"yyyy-mm"),'Lançamentos'!$B$6:$B$905,"Receita")</f>
        <v/>
      </c>
      <c r="C11" s="48">
        <f>SUMIFS('Lançamentos'!$E$6:$E$905,'Lançamentos'!$F$6:$F$905,TEXT(DATE($B$5,4,1),"yyyy-mm"),'Lançamentos'!$B$6:$B$905,"Despesa")</f>
        <v/>
      </c>
      <c r="D11" s="49">
        <f>$B11-$C11</f>
        <v/>
      </c>
      <c r="E11" s="30">
        <f>IFERROR(($B11-$C11)/$B11,0)</f>
        <v/>
      </c>
    </row>
    <row r="12">
      <c r="A12" s="28">
        <f>TEXT(DATE($B$5,5,1),"mmm")</f>
        <v/>
      </c>
      <c r="B12" s="47">
        <f>SUMIFS('Lançamentos'!$E$6:$E$905,'Lançamentos'!$F$6:$F$905,TEXT(DATE($B$5,5,1),"yyyy-mm"),'Lançamentos'!$B$6:$B$905,"Receita")</f>
        <v/>
      </c>
      <c r="C12" s="48">
        <f>SUMIFS('Lançamentos'!$E$6:$E$905,'Lançamentos'!$F$6:$F$905,TEXT(DATE($B$5,5,1),"yyyy-mm"),'Lançamentos'!$B$6:$B$905,"Despesa")</f>
        <v/>
      </c>
      <c r="D12" s="49">
        <f>$B12-$C12</f>
        <v/>
      </c>
      <c r="E12" s="30">
        <f>IFERROR(($B12-$C12)/$B12,0)</f>
        <v/>
      </c>
    </row>
    <row r="13">
      <c r="A13" s="28">
        <f>TEXT(DATE($B$5,6,1),"mmm")</f>
        <v/>
      </c>
      <c r="B13" s="47">
        <f>SUMIFS('Lançamentos'!$E$6:$E$905,'Lançamentos'!$F$6:$F$905,TEXT(DATE($B$5,6,1),"yyyy-mm"),'Lançamentos'!$B$6:$B$905,"Receita")</f>
        <v/>
      </c>
      <c r="C13" s="48">
        <f>SUMIFS('Lançamentos'!$E$6:$E$905,'Lançamentos'!$F$6:$F$905,TEXT(DATE($B$5,6,1),"yyyy-mm"),'Lançamentos'!$B$6:$B$905,"Despesa")</f>
        <v/>
      </c>
      <c r="D13" s="49">
        <f>$B13-$C13</f>
        <v/>
      </c>
      <c r="E13" s="30">
        <f>IFERROR(($B13-$C13)/$B13,0)</f>
        <v/>
      </c>
    </row>
    <row r="14">
      <c r="A14" s="28">
        <f>TEXT(DATE($B$5,7,1),"mmm")</f>
        <v/>
      </c>
      <c r="B14" s="47">
        <f>SUMIFS('Lançamentos'!$E$6:$E$905,'Lançamentos'!$F$6:$F$905,TEXT(DATE($B$5,7,1),"yyyy-mm"),'Lançamentos'!$B$6:$B$905,"Receita")</f>
        <v/>
      </c>
      <c r="C14" s="48">
        <f>SUMIFS('Lançamentos'!$E$6:$E$905,'Lançamentos'!$F$6:$F$905,TEXT(DATE($B$5,7,1),"yyyy-mm"),'Lançamentos'!$B$6:$B$905,"Despesa")</f>
        <v/>
      </c>
      <c r="D14" s="49">
        <f>$B14-$C14</f>
        <v/>
      </c>
      <c r="E14" s="30">
        <f>IFERROR(($B14-$C14)/$B14,0)</f>
        <v/>
      </c>
    </row>
    <row r="15">
      <c r="A15" s="28">
        <f>TEXT(DATE($B$5,8,1),"mmm")</f>
        <v/>
      </c>
      <c r="B15" s="47">
        <f>SUMIFS('Lançamentos'!$E$6:$E$905,'Lançamentos'!$F$6:$F$905,TEXT(DATE($B$5,8,1),"yyyy-mm"),'Lançamentos'!$B$6:$B$905,"Receita")</f>
        <v/>
      </c>
      <c r="C15" s="48">
        <f>SUMIFS('Lançamentos'!$E$6:$E$905,'Lançamentos'!$F$6:$F$905,TEXT(DATE($B$5,8,1),"yyyy-mm"),'Lançamentos'!$B$6:$B$905,"Despesa")</f>
        <v/>
      </c>
      <c r="D15" s="49">
        <f>$B15-$C15</f>
        <v/>
      </c>
      <c r="E15" s="30">
        <f>IFERROR(($B15-$C15)/$B15,0)</f>
        <v/>
      </c>
    </row>
    <row r="16">
      <c r="A16" s="28">
        <f>TEXT(DATE($B$5,9,1),"mmm")</f>
        <v/>
      </c>
      <c r="B16" s="47">
        <f>SUMIFS('Lançamentos'!$E$6:$E$905,'Lançamentos'!$F$6:$F$905,TEXT(DATE($B$5,9,1),"yyyy-mm"),'Lançamentos'!$B$6:$B$905,"Receita")</f>
        <v/>
      </c>
      <c r="C16" s="48">
        <f>SUMIFS('Lançamentos'!$E$6:$E$905,'Lançamentos'!$F$6:$F$905,TEXT(DATE($B$5,9,1),"yyyy-mm"),'Lançamentos'!$B$6:$B$905,"Despesa")</f>
        <v/>
      </c>
      <c r="D16" s="49">
        <f>$B16-$C16</f>
        <v/>
      </c>
      <c r="E16" s="30">
        <f>IFERROR(($B16-$C16)/$B16,0)</f>
        <v/>
      </c>
    </row>
    <row r="17">
      <c r="A17" s="28">
        <f>TEXT(DATE($B$5,10,1),"mmm")</f>
        <v/>
      </c>
      <c r="B17" s="47">
        <f>SUMIFS('Lançamentos'!$E$6:$E$905,'Lançamentos'!$F$6:$F$905,TEXT(DATE($B$5,10,1),"yyyy-mm"),'Lançamentos'!$B$6:$B$905,"Receita")</f>
        <v/>
      </c>
      <c r="C17" s="48">
        <f>SUMIFS('Lançamentos'!$E$6:$E$905,'Lançamentos'!$F$6:$F$905,TEXT(DATE($B$5,10,1),"yyyy-mm"),'Lançamentos'!$B$6:$B$905,"Despesa")</f>
        <v/>
      </c>
      <c r="D17" s="49">
        <f>$B17-$C17</f>
        <v/>
      </c>
      <c r="E17" s="30">
        <f>IFERROR(($B17-$C17)/$B17,0)</f>
        <v/>
      </c>
    </row>
    <row r="18">
      <c r="A18" s="28">
        <f>TEXT(DATE($B$5,11,1),"mmm")</f>
        <v/>
      </c>
      <c r="B18" s="47">
        <f>SUMIFS('Lançamentos'!$E$6:$E$905,'Lançamentos'!$F$6:$F$905,TEXT(DATE($B$5,11,1),"yyyy-mm"),'Lançamentos'!$B$6:$B$905,"Receita")</f>
        <v/>
      </c>
      <c r="C18" s="48">
        <f>SUMIFS('Lançamentos'!$E$6:$E$905,'Lançamentos'!$F$6:$F$905,TEXT(DATE($B$5,11,1),"yyyy-mm"),'Lançamentos'!$B$6:$B$905,"Despesa")</f>
        <v/>
      </c>
      <c r="D18" s="49">
        <f>$B18-$C18</f>
        <v/>
      </c>
      <c r="E18" s="30">
        <f>IFERROR(($B18-$C18)/$B18,0)</f>
        <v/>
      </c>
    </row>
    <row r="19">
      <c r="A19" s="28">
        <f>TEXT(DATE($B$5,12,1),"mmm")</f>
        <v/>
      </c>
      <c r="B19" s="47">
        <f>SUMIFS('Lançamentos'!$E$6:$E$905,'Lançamentos'!$F$6:$F$905,TEXT(DATE($B$5,12,1),"yyyy-mm"),'Lançamentos'!$B$6:$B$905,"Receita")</f>
        <v/>
      </c>
      <c r="C19" s="48">
        <f>SUMIFS('Lançamentos'!$E$6:$E$905,'Lançamentos'!$F$6:$F$905,TEXT(DATE($B$5,12,1),"yyyy-mm"),'Lançamentos'!$B$6:$B$905,"Despesa")</f>
        <v/>
      </c>
      <c r="D19" s="49">
        <f>$B19-$C19</f>
        <v/>
      </c>
      <c r="E19" s="30">
        <f>IFERROR(($B19-$C19)/$B19,0)</f>
        <v/>
      </c>
    </row>
    <row r="20">
      <c r="A20" s="50" t="inlineStr">
        <is>
          <t>Total</t>
        </is>
      </c>
      <c r="B20" s="51">
        <f>SUM(B8:B19)</f>
        <v/>
      </c>
      <c r="C20" s="51">
        <f>SUM(C8:C19)</f>
        <v/>
      </c>
      <c r="D20" s="51">
        <f>SUM(D8:D19)</f>
        <v/>
      </c>
      <c r="E20" s="52" t="n"/>
    </row>
    <row r="23">
      <c r="A23" s="53" t="inlineStr">
        <is>
          <t>POR CATEGORIA (ANO TODO)</t>
        </is>
      </c>
    </row>
    <row r="24" ht="26" customHeight="1">
      <c r="A24" s="27" t="inlineStr">
        <is>
          <t>Categoria</t>
        </is>
      </c>
      <c r="B24" s="27" t="inlineStr">
        <is>
          <t>Total gasto</t>
        </is>
      </c>
      <c r="C24" s="27" t="inlineStr">
        <is>
          <t>Média/mês</t>
        </is>
      </c>
      <c r="D24" s="27" t="inlineStr">
        <is>
          <t>% do total</t>
        </is>
      </c>
    </row>
    <row r="25">
      <c r="A25" s="28" t="inlineStr">
        <is>
          <t>Alimentação</t>
        </is>
      </c>
      <c r="B25" s="29">
        <f>SUMPRODUCT(('Lançamentos'!$B$6:$B$905="Despesa")*('Lançamentos'!$C$6:$C$905=$A25)*(LEFT('Lançamentos'!$F$6:$F$905,4)=TEXT($B$5,"0000"))*'Lançamentos'!$E$6:$E$905)</f>
        <v/>
      </c>
      <c r="C25" s="54">
        <f>IFERROR($B25/12,0)</f>
        <v/>
      </c>
      <c r="D25" s="30">
        <f>IFERROR($B25/SUM($B$25:$B$32),0)</f>
        <v/>
      </c>
    </row>
    <row r="26">
      <c r="A26" s="28" t="inlineStr">
        <is>
          <t>Transporte</t>
        </is>
      </c>
      <c r="B26" s="29">
        <f>SUMPRODUCT(('Lançamentos'!$B$6:$B$905="Despesa")*('Lançamentos'!$C$6:$C$905=$A26)*(LEFT('Lançamentos'!$F$6:$F$905,4)=TEXT($B$5,"0000"))*'Lançamentos'!$E$6:$E$905)</f>
        <v/>
      </c>
      <c r="C26" s="54">
        <f>IFERROR($B26/12,0)</f>
        <v/>
      </c>
      <c r="D26" s="30">
        <f>IFERROR($B26/SUM($B$25:$B$32),0)</f>
        <v/>
      </c>
    </row>
    <row r="27">
      <c r="A27" s="28" t="inlineStr">
        <is>
          <t>Moradia</t>
        </is>
      </c>
      <c r="B27" s="29">
        <f>SUMPRODUCT(('Lançamentos'!$B$6:$B$905="Despesa")*('Lançamentos'!$C$6:$C$905=$A27)*(LEFT('Lançamentos'!$F$6:$F$905,4)=TEXT($B$5,"0000"))*'Lançamentos'!$E$6:$E$905)</f>
        <v/>
      </c>
      <c r="C27" s="54">
        <f>IFERROR($B27/12,0)</f>
        <v/>
      </c>
      <c r="D27" s="30">
        <f>IFERROR($B27/SUM($B$25:$B$32),0)</f>
        <v/>
      </c>
    </row>
    <row r="28">
      <c r="A28" s="28" t="inlineStr">
        <is>
          <t>Saúde</t>
        </is>
      </c>
      <c r="B28" s="29">
        <f>SUMPRODUCT(('Lançamentos'!$B$6:$B$905="Despesa")*('Lançamentos'!$C$6:$C$905=$A28)*(LEFT('Lançamentos'!$F$6:$F$905,4)=TEXT($B$5,"0000"))*'Lançamentos'!$E$6:$E$905)</f>
        <v/>
      </c>
      <c r="C28" s="54">
        <f>IFERROR($B28/12,0)</f>
        <v/>
      </c>
      <c r="D28" s="30">
        <f>IFERROR($B28/SUM($B$25:$B$32),0)</f>
        <v/>
      </c>
    </row>
    <row r="29">
      <c r="A29" s="28" t="inlineStr">
        <is>
          <t>Educação</t>
        </is>
      </c>
      <c r="B29" s="29">
        <f>SUMPRODUCT(('Lançamentos'!$B$6:$B$905="Despesa")*('Lançamentos'!$C$6:$C$905=$A29)*(LEFT('Lançamentos'!$F$6:$F$905,4)=TEXT($B$5,"0000"))*'Lançamentos'!$E$6:$E$905)</f>
        <v/>
      </c>
      <c r="C29" s="54">
        <f>IFERROR($B29/12,0)</f>
        <v/>
      </c>
      <c r="D29" s="30">
        <f>IFERROR($B29/SUM($B$25:$B$32),0)</f>
        <v/>
      </c>
    </row>
    <row r="30">
      <c r="A30" s="28" t="inlineStr">
        <is>
          <t>Lazer</t>
        </is>
      </c>
      <c r="B30" s="29">
        <f>SUMPRODUCT(('Lançamentos'!$B$6:$B$905="Despesa")*('Lançamentos'!$C$6:$C$905=$A30)*(LEFT('Lançamentos'!$F$6:$F$905,4)=TEXT($B$5,"0000"))*'Lançamentos'!$E$6:$E$905)</f>
        <v/>
      </c>
      <c r="C30" s="54">
        <f>IFERROR($B30/12,0)</f>
        <v/>
      </c>
      <c r="D30" s="30">
        <f>IFERROR($B30/SUM($B$25:$B$32),0)</f>
        <v/>
      </c>
    </row>
    <row r="31">
      <c r="A31" s="28" t="inlineStr">
        <is>
          <t>Vestuário</t>
        </is>
      </c>
      <c r="B31" s="29">
        <f>SUMPRODUCT(('Lançamentos'!$B$6:$B$905="Despesa")*('Lançamentos'!$C$6:$C$905=$A31)*(LEFT('Lançamentos'!$F$6:$F$905,4)=TEXT($B$5,"0000"))*'Lançamentos'!$E$6:$E$905)</f>
        <v/>
      </c>
      <c r="C31" s="54">
        <f>IFERROR($B31/12,0)</f>
        <v/>
      </c>
      <c r="D31" s="30">
        <f>IFERROR($B31/SUM($B$25:$B$32),0)</f>
        <v/>
      </c>
    </row>
    <row r="32">
      <c r="A32" s="28" t="inlineStr">
        <is>
          <t>Outros</t>
        </is>
      </c>
      <c r="B32" s="29">
        <f>SUMPRODUCT(('Lançamentos'!$B$6:$B$905="Despesa")*('Lançamentos'!$C$6:$C$905=$A32)*(LEFT('Lançamentos'!$F$6:$F$905,4)=TEXT($B$5,"0000"))*'Lançamentos'!$E$6:$E$905)</f>
        <v/>
      </c>
      <c r="C32" s="54">
        <f>IFERROR($B32/12,0)</f>
        <v/>
      </c>
      <c r="D32" s="30">
        <f>IFERROR($B32/SUM($B$25:$B$32),0)</f>
        <v/>
      </c>
    </row>
  </sheetData>
  <mergeCells count="3">
    <mergeCell ref="A3:H3"/>
    <mergeCell ref="A2:H2"/>
    <mergeCell ref="A1:H1"/>
  </mergeCells>
  <conditionalFormatting sqref="D8:D19">
    <cfRule type="cellIs" priority="1" operator="lessThan" dxfId="5">
      <formula>0</formula>
    </cfRule>
  </conditionalFormatting>
  <conditionalFormatting sqref="A8:E19">
    <cfRule type="expression" priority="2" dxfId="6" stopIfTrue="0">
      <formula>ISEVEN(ROW())</formula>
    </cfRule>
  </conditionalFormatting>
  <conditionalFormatting sqref="A25:D32">
    <cfRule type="expression" priority="3" dxfId="6" stopIfTrue="0">
      <formula>ISEVEN(ROW())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2" customWidth="1" min="5" max="5"/>
    <col width="16" customWidth="1" min="6" max="6"/>
  </cols>
  <sheetData>
    <row r="1" ht="42" customHeight="1">
      <c r="A1" s="55" t="inlineStr">
        <is>
          <t>Finn.</t>
        </is>
      </c>
      <c r="B1" s="2" t="n"/>
      <c r="C1" s="2" t="n"/>
      <c r="D1" s="2" t="n"/>
      <c r="E1" s="2" t="n"/>
      <c r="F1" s="2" t="n"/>
    </row>
    <row r="2" ht="24" customHeight="1">
      <c r="A2" s="56" t="inlineStr">
        <is>
          <t>Limites por categoria</t>
        </is>
      </c>
      <c r="B2" s="57" t="n"/>
      <c r="C2" s="57" t="n"/>
      <c r="D2" s="57" t="n"/>
      <c r="E2" s="57" t="n"/>
      <c r="F2" s="57" t="n"/>
    </row>
    <row r="3" ht="18" customHeight="1">
      <c r="A3" s="58" t="inlineStr">
        <is>
          <t>Defina o teto mensal. O gasto vem sozinho dos Lançamentos.</t>
        </is>
      </c>
      <c r="B3" s="57" t="n"/>
      <c r="C3" s="57" t="n"/>
      <c r="D3" s="57" t="n"/>
      <c r="E3" s="57" t="n"/>
      <c r="F3" s="57" t="n"/>
    </row>
    <row r="5" ht="26" customHeight="1">
      <c r="A5" s="27" t="inlineStr">
        <is>
          <t>Categoria</t>
        </is>
      </c>
      <c r="B5" s="27" t="inlineStr">
        <is>
          <t>Limite mensal</t>
        </is>
      </c>
      <c r="C5" s="27" t="inlineStr">
        <is>
          <t>Gasto no mês</t>
        </is>
      </c>
      <c r="D5" s="27" t="inlineStr">
        <is>
          <t>Restante</t>
        </is>
      </c>
      <c r="E5" s="27" t="inlineStr">
        <is>
          <t>% usado</t>
        </is>
      </c>
      <c r="F5" s="27" t="inlineStr">
        <is>
          <t>Situação</t>
        </is>
      </c>
    </row>
    <row r="6">
      <c r="A6" s="35" t="n"/>
      <c r="B6" s="36" t="n"/>
      <c r="C6" s="36">
        <f>IF($A6="","",SUMIFS('Lançamentos'!$E$6:$E$905,'Lançamentos'!$F$6:$F$905,Config!$D$7,'Lançamentos'!$B$6:$B$905,"Despesa",'Lançamentos'!$C$6:$C$905,$A6))</f>
        <v/>
      </c>
      <c r="D6" s="36">
        <f>IF($A6="","",$B6-$C6)</f>
        <v/>
      </c>
      <c r="E6" s="59">
        <f>IFERROR(IF($A6="","",$C6/$B6),0)</f>
        <v/>
      </c>
      <c r="F6" s="60">
        <f>IF($A6="","",IF($E6&gt;1,"Estourou",IF($E6&gt;0.8,"Atenção","Ok")))</f>
        <v/>
      </c>
    </row>
    <row r="7">
      <c r="A7" s="35" t="n"/>
      <c r="B7" s="36" t="n"/>
      <c r="C7" s="36">
        <f>IF($A7="","",SUMIFS('Lançamentos'!$E$6:$E$905,'Lançamentos'!$F$6:$F$905,Config!$D$7,'Lançamentos'!$B$6:$B$905,"Despesa",'Lançamentos'!$C$6:$C$905,$A7))</f>
        <v/>
      </c>
      <c r="D7" s="36">
        <f>IF($A7="","",$B7-$C7)</f>
        <v/>
      </c>
      <c r="E7" s="59">
        <f>IFERROR(IF($A7="","",$C7/$B7),0)</f>
        <v/>
      </c>
      <c r="F7" s="60">
        <f>IF($A7="","",IF($E7&gt;1,"Estourou",IF($E7&gt;0.8,"Atenção","Ok")))</f>
        <v/>
      </c>
    </row>
    <row r="8">
      <c r="A8" s="35" t="n"/>
      <c r="B8" s="36" t="n"/>
      <c r="C8" s="36">
        <f>IF($A8="","",SUMIFS('Lançamentos'!$E$6:$E$905,'Lançamentos'!$F$6:$F$905,Config!$D$7,'Lançamentos'!$B$6:$B$905,"Despesa",'Lançamentos'!$C$6:$C$905,$A8))</f>
        <v/>
      </c>
      <c r="D8" s="36">
        <f>IF($A8="","",$B8-$C8)</f>
        <v/>
      </c>
      <c r="E8" s="59">
        <f>IFERROR(IF($A8="","",$C8/$B8),0)</f>
        <v/>
      </c>
      <c r="F8" s="60">
        <f>IF($A8="","",IF($E8&gt;1,"Estourou",IF($E8&gt;0.8,"Atenção","Ok")))</f>
        <v/>
      </c>
    </row>
    <row r="9">
      <c r="A9" s="35" t="n"/>
      <c r="B9" s="36" t="n"/>
      <c r="C9" s="36">
        <f>IF($A9="","",SUMIFS('Lançamentos'!$E$6:$E$905,'Lançamentos'!$F$6:$F$905,Config!$D$7,'Lançamentos'!$B$6:$B$905,"Despesa",'Lançamentos'!$C$6:$C$905,$A9))</f>
        <v/>
      </c>
      <c r="D9" s="36">
        <f>IF($A9="","",$B9-$C9)</f>
        <v/>
      </c>
      <c r="E9" s="59">
        <f>IFERROR(IF($A9="","",$C9/$B9),0)</f>
        <v/>
      </c>
      <c r="F9" s="60">
        <f>IF($A9="","",IF($E9&gt;1,"Estourou",IF($E9&gt;0.8,"Atenção","Ok")))</f>
        <v/>
      </c>
    </row>
    <row r="10">
      <c r="A10" s="35" t="n"/>
      <c r="B10" s="36" t="n"/>
      <c r="C10" s="36">
        <f>IF($A10="","",SUMIFS('Lançamentos'!$E$6:$E$905,'Lançamentos'!$F$6:$F$905,Config!$D$7,'Lançamentos'!$B$6:$B$905,"Despesa",'Lançamentos'!$C$6:$C$905,$A10))</f>
        <v/>
      </c>
      <c r="D10" s="36">
        <f>IF($A10="","",$B10-$C10)</f>
        <v/>
      </c>
      <c r="E10" s="59">
        <f>IFERROR(IF($A10="","",$C10/$B10),0)</f>
        <v/>
      </c>
      <c r="F10" s="60">
        <f>IF($A10="","",IF($E10&gt;1,"Estourou",IF($E10&gt;0.8,"Atenção","Ok")))</f>
        <v/>
      </c>
    </row>
    <row r="11">
      <c r="A11" s="35" t="n"/>
      <c r="B11" s="36" t="n"/>
      <c r="C11" s="36">
        <f>IF($A11="","",SUMIFS('Lançamentos'!$E$6:$E$905,'Lançamentos'!$F$6:$F$905,Config!$D$7,'Lançamentos'!$B$6:$B$905,"Despesa",'Lançamentos'!$C$6:$C$905,$A11))</f>
        <v/>
      </c>
      <c r="D11" s="36">
        <f>IF($A11="","",$B11-$C11)</f>
        <v/>
      </c>
      <c r="E11" s="59">
        <f>IFERROR(IF($A11="","",$C11/$B11),0)</f>
        <v/>
      </c>
      <c r="F11" s="60">
        <f>IF($A11="","",IF($E11&gt;1,"Estourou",IF($E11&gt;0.8,"Atenção","Ok")))</f>
        <v/>
      </c>
    </row>
    <row r="12">
      <c r="A12" s="35" t="n"/>
      <c r="B12" s="36" t="n"/>
      <c r="C12" s="36">
        <f>IF($A12="","",SUMIFS('Lançamentos'!$E$6:$E$905,'Lançamentos'!$F$6:$F$905,Config!$D$7,'Lançamentos'!$B$6:$B$905,"Despesa",'Lançamentos'!$C$6:$C$905,$A12))</f>
        <v/>
      </c>
      <c r="D12" s="36">
        <f>IF($A12="","",$B12-$C12)</f>
        <v/>
      </c>
      <c r="E12" s="59">
        <f>IFERROR(IF($A12="","",$C12/$B12),0)</f>
        <v/>
      </c>
      <c r="F12" s="60">
        <f>IF($A12="","",IF($E12&gt;1,"Estourou",IF($E12&gt;0.8,"Atenção","Ok")))</f>
        <v/>
      </c>
    </row>
    <row r="13">
      <c r="A13" s="35" t="n"/>
      <c r="B13" s="36" t="n"/>
      <c r="C13" s="36">
        <f>IF($A13="","",SUMIFS('Lançamentos'!$E$6:$E$905,'Lançamentos'!$F$6:$F$905,Config!$D$7,'Lançamentos'!$B$6:$B$905,"Despesa",'Lançamentos'!$C$6:$C$905,$A13))</f>
        <v/>
      </c>
      <c r="D13" s="36">
        <f>IF($A13="","",$B13-$C13)</f>
        <v/>
      </c>
      <c r="E13" s="59">
        <f>IFERROR(IF($A13="","",$C13/$B13),0)</f>
        <v/>
      </c>
      <c r="F13" s="60">
        <f>IF($A13="","",IF($E13&gt;1,"Estourou",IF($E13&gt;0.8,"Atenção","Ok")))</f>
        <v/>
      </c>
    </row>
    <row r="14">
      <c r="A14" s="35" t="n"/>
      <c r="B14" s="36" t="n"/>
      <c r="C14" s="36">
        <f>IF($A14="","",SUMIFS('Lançamentos'!$E$6:$E$905,'Lançamentos'!$F$6:$F$905,Config!$D$7,'Lançamentos'!$B$6:$B$905,"Despesa",'Lançamentos'!$C$6:$C$905,$A14))</f>
        <v/>
      </c>
      <c r="D14" s="36">
        <f>IF($A14="","",$B14-$C14)</f>
        <v/>
      </c>
      <c r="E14" s="59">
        <f>IFERROR(IF($A14="","",$C14/$B14),0)</f>
        <v/>
      </c>
      <c r="F14" s="60">
        <f>IF($A14="","",IF($E14&gt;1,"Estourou",IF($E14&gt;0.8,"Atenção","Ok")))</f>
        <v/>
      </c>
    </row>
    <row r="15">
      <c r="A15" s="35" t="n"/>
      <c r="B15" s="36" t="n"/>
      <c r="C15" s="36">
        <f>IF($A15="","",SUMIFS('Lançamentos'!$E$6:$E$905,'Lançamentos'!$F$6:$F$905,Config!$D$7,'Lançamentos'!$B$6:$B$905,"Despesa",'Lançamentos'!$C$6:$C$905,$A15))</f>
        <v/>
      </c>
      <c r="D15" s="36">
        <f>IF($A15="","",$B15-$C15)</f>
        <v/>
      </c>
      <c r="E15" s="59">
        <f>IFERROR(IF($A15="","",$C15/$B15),0)</f>
        <v/>
      </c>
      <c r="F15" s="60">
        <f>IF($A15="","",IF($E15&gt;1,"Estourou",IF($E15&gt;0.8,"Atenção","Ok")))</f>
        <v/>
      </c>
    </row>
    <row r="16">
      <c r="A16" s="35" t="n"/>
      <c r="B16" s="36" t="n"/>
      <c r="C16" s="36">
        <f>IF($A16="","",SUMIFS('Lançamentos'!$E$6:$E$905,'Lançamentos'!$F$6:$F$905,Config!$D$7,'Lançamentos'!$B$6:$B$905,"Despesa",'Lançamentos'!$C$6:$C$905,$A16))</f>
        <v/>
      </c>
      <c r="D16" s="36">
        <f>IF($A16="","",$B16-$C16)</f>
        <v/>
      </c>
      <c r="E16" s="59">
        <f>IFERROR(IF($A16="","",$C16/$B16),0)</f>
        <v/>
      </c>
      <c r="F16" s="60">
        <f>IF($A16="","",IF($E16&gt;1,"Estourou",IF($E16&gt;0.8,"Atenção","Ok")))</f>
        <v/>
      </c>
    </row>
    <row r="17">
      <c r="A17" s="35" t="n"/>
      <c r="B17" s="36" t="n"/>
      <c r="C17" s="36">
        <f>IF($A17="","",SUMIFS('Lançamentos'!$E$6:$E$905,'Lançamentos'!$F$6:$F$905,Config!$D$7,'Lançamentos'!$B$6:$B$905,"Despesa",'Lançamentos'!$C$6:$C$905,$A17))</f>
        <v/>
      </c>
      <c r="D17" s="36">
        <f>IF($A17="","",$B17-$C17)</f>
        <v/>
      </c>
      <c r="E17" s="59">
        <f>IFERROR(IF($A17="","",$C17/$B17),0)</f>
        <v/>
      </c>
      <c r="F17" s="60">
        <f>IF($A17="","",IF($E17&gt;1,"Estourou",IF($E17&gt;0.8,"Atenção","Ok")))</f>
        <v/>
      </c>
    </row>
    <row r="18">
      <c r="A18" s="35" t="n"/>
      <c r="B18" s="36" t="n"/>
      <c r="C18" s="36">
        <f>IF($A18="","",SUMIFS('Lançamentos'!$E$6:$E$905,'Lançamentos'!$F$6:$F$905,Config!$D$7,'Lançamentos'!$B$6:$B$905,"Despesa",'Lançamentos'!$C$6:$C$905,$A18))</f>
        <v/>
      </c>
      <c r="D18" s="36">
        <f>IF($A18="","",$B18-$C18)</f>
        <v/>
      </c>
      <c r="E18" s="59">
        <f>IFERROR(IF($A18="","",$C18/$B18),0)</f>
        <v/>
      </c>
      <c r="F18" s="60">
        <f>IF($A18="","",IF($E18&gt;1,"Estourou",IF($E18&gt;0.8,"Atenção","Ok")))</f>
        <v/>
      </c>
    </row>
    <row r="19">
      <c r="A19" s="35" t="n"/>
      <c r="B19" s="36" t="n"/>
      <c r="C19" s="36">
        <f>IF($A19="","",SUMIFS('Lançamentos'!$E$6:$E$905,'Lançamentos'!$F$6:$F$905,Config!$D$7,'Lançamentos'!$B$6:$B$905,"Despesa",'Lançamentos'!$C$6:$C$905,$A19))</f>
        <v/>
      </c>
      <c r="D19" s="36">
        <f>IF($A19="","",$B19-$C19)</f>
        <v/>
      </c>
      <c r="E19" s="59">
        <f>IFERROR(IF($A19="","",$C19/$B19),0)</f>
        <v/>
      </c>
      <c r="F19" s="60">
        <f>IF($A19="","",IF($E19&gt;1,"Estourou",IF($E19&gt;0.8,"Atenção","Ok")))</f>
        <v/>
      </c>
    </row>
    <row r="20">
      <c r="A20" s="35" t="n"/>
      <c r="B20" s="36" t="n"/>
      <c r="C20" s="36">
        <f>IF($A20="","",SUMIFS('Lançamentos'!$E$6:$E$905,'Lançamentos'!$F$6:$F$905,Config!$D$7,'Lançamentos'!$B$6:$B$905,"Despesa",'Lançamentos'!$C$6:$C$905,$A20))</f>
        <v/>
      </c>
      <c r="D20" s="36">
        <f>IF($A20="","",$B20-$C20)</f>
        <v/>
      </c>
      <c r="E20" s="59">
        <f>IFERROR(IF($A20="","",$C20/$B20),0)</f>
        <v/>
      </c>
      <c r="F20" s="60">
        <f>IF($A20="","",IF($E20&gt;1,"Estourou",IF($E20&gt;0.8,"Atenção","Ok")))</f>
        <v/>
      </c>
    </row>
    <row r="21">
      <c r="A21" s="35" t="n"/>
      <c r="B21" s="36" t="n"/>
      <c r="C21" s="36">
        <f>IF($A21="","",SUMIFS('Lançamentos'!$E$6:$E$905,'Lançamentos'!$F$6:$F$905,Config!$D$7,'Lançamentos'!$B$6:$B$905,"Despesa",'Lançamentos'!$C$6:$C$905,$A21))</f>
        <v/>
      </c>
      <c r="D21" s="36">
        <f>IF($A21="","",$B21-$C21)</f>
        <v/>
      </c>
      <c r="E21" s="59">
        <f>IFERROR(IF($A21="","",$C21/$B21),0)</f>
        <v/>
      </c>
      <c r="F21" s="60">
        <f>IF($A21="","",IF($E21&gt;1,"Estourou",IF($E21&gt;0.8,"Atenção","Ok")))</f>
        <v/>
      </c>
    </row>
    <row r="22">
      <c r="A22" s="35" t="n"/>
      <c r="B22" s="36" t="n"/>
      <c r="C22" s="36">
        <f>IF($A22="","",SUMIFS('Lançamentos'!$E$6:$E$905,'Lançamentos'!$F$6:$F$905,Config!$D$7,'Lançamentos'!$B$6:$B$905,"Despesa",'Lançamentos'!$C$6:$C$905,$A22))</f>
        <v/>
      </c>
      <c r="D22" s="36">
        <f>IF($A22="","",$B22-$C22)</f>
        <v/>
      </c>
      <c r="E22" s="59">
        <f>IFERROR(IF($A22="","",$C22/$B22),0)</f>
        <v/>
      </c>
      <c r="F22" s="60">
        <f>IF($A22="","",IF($E22&gt;1,"Estourou",IF($E22&gt;0.8,"Atenção","Ok")))</f>
        <v/>
      </c>
    </row>
    <row r="23">
      <c r="A23" s="35" t="n"/>
      <c r="B23" s="36" t="n"/>
      <c r="C23" s="36">
        <f>IF($A23="","",SUMIFS('Lançamentos'!$E$6:$E$905,'Lançamentos'!$F$6:$F$905,Config!$D$7,'Lançamentos'!$B$6:$B$905,"Despesa",'Lançamentos'!$C$6:$C$905,$A23))</f>
        <v/>
      </c>
      <c r="D23" s="36">
        <f>IF($A23="","",$B23-$C23)</f>
        <v/>
      </c>
      <c r="E23" s="59">
        <f>IFERROR(IF($A23="","",$C23/$B23),0)</f>
        <v/>
      </c>
      <c r="F23" s="60">
        <f>IF($A23="","",IF($E23&gt;1,"Estourou",IF($E23&gt;0.8,"Atenção","Ok")))</f>
        <v/>
      </c>
    </row>
    <row r="24">
      <c r="A24" s="35" t="n"/>
      <c r="B24" s="36" t="n"/>
      <c r="C24" s="36">
        <f>IF($A24="","",SUMIFS('Lançamentos'!$E$6:$E$905,'Lançamentos'!$F$6:$F$905,Config!$D$7,'Lançamentos'!$B$6:$B$905,"Despesa",'Lançamentos'!$C$6:$C$905,$A24))</f>
        <v/>
      </c>
      <c r="D24" s="36">
        <f>IF($A24="","",$B24-$C24)</f>
        <v/>
      </c>
      <c r="E24" s="59">
        <f>IFERROR(IF($A24="","",$C24/$B24),0)</f>
        <v/>
      </c>
      <c r="F24" s="60">
        <f>IF($A24="","",IF($E24&gt;1,"Estourou",IF($E24&gt;0.8,"Atenção","Ok")))</f>
        <v/>
      </c>
    </row>
    <row r="25">
      <c r="A25" s="35" t="n"/>
      <c r="B25" s="36" t="n"/>
      <c r="C25" s="36">
        <f>IF($A25="","",SUMIFS('Lançamentos'!$E$6:$E$905,'Lançamentos'!$F$6:$F$905,Config!$D$7,'Lançamentos'!$B$6:$B$905,"Despesa",'Lançamentos'!$C$6:$C$905,$A25))</f>
        <v/>
      </c>
      <c r="D25" s="36">
        <f>IF($A25="","",$B25-$C25)</f>
        <v/>
      </c>
      <c r="E25" s="59">
        <f>IFERROR(IF($A25="","",$C25/$B25),0)</f>
        <v/>
      </c>
      <c r="F25" s="60">
        <f>IF($A25="","",IF($E25&gt;1,"Estourou",IF($E25&gt;0.8,"Atenção","Ok")))</f>
        <v/>
      </c>
    </row>
  </sheetData>
  <mergeCells count="3">
    <mergeCell ref="A3:F3"/>
    <mergeCell ref="A2:F2"/>
    <mergeCell ref="A1:F1"/>
  </mergeCells>
  <conditionalFormatting sqref="E6:E25">
    <cfRule type="dataBar" priority="1">
      <dataBar>
        <cfvo type="num" val="0"/>
        <cfvo type="num" val="1"/>
        <color rgb="00F97316"/>
      </dataBar>
    </cfRule>
  </conditionalFormatting>
  <conditionalFormatting sqref="F6:F25">
    <cfRule type="expression" priority="2" dxfId="0">
      <formula>$F6="Estourou"</formula>
    </cfRule>
    <cfRule type="expression" priority="3" dxfId="1">
      <formula>$F6="Atenção"</formula>
    </cfRule>
    <cfRule type="expression" priority="4" dxfId="2">
      <formula>$F6="Ok"</formula>
    </cfRule>
  </conditionalFormatting>
  <conditionalFormatting sqref="A6:D25">
    <cfRule type="expression" priority="5" dxfId="7" stopIfTrue="0">
      <formula>ISEVEN(ROW())</formula>
    </cfRule>
  </conditionalFormatting>
  <dataValidations count="1">
    <dataValidation sqref="A6:A25" showDropDown="0" showInputMessage="0" showErrorMessage="0" allowBlank="1" type="list">
      <formula1>=Config!$A$14:$A$21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59669"/>
    <outlinePr summaryBelow="1" summaryRight="1"/>
    <pageSetUpPr/>
  </sheetPr>
  <dimension ref="A1:H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9" customWidth="1" min="5" max="5"/>
    <col width="13" customWidth="1" min="6" max="6"/>
    <col width="16" customWidth="1" min="7" max="7"/>
    <col width="17" customWidth="1" min="8" max="8"/>
  </cols>
  <sheetData>
    <row r="1" ht="42" customHeight="1">
      <c r="A1" s="61" t="inlineStr">
        <is>
          <t>Finn.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62" t="inlineStr">
        <is>
          <t>Metas</t>
        </is>
      </c>
      <c r="B2" s="63" t="n"/>
      <c r="C2" s="63" t="n"/>
      <c r="D2" s="63" t="n"/>
      <c r="E2" s="63" t="n"/>
      <c r="F2" s="63" t="n"/>
      <c r="G2" s="63" t="n"/>
      <c r="H2" s="63" t="n"/>
    </row>
    <row r="3" ht="18" customHeight="1">
      <c r="A3" s="64" t="inlineStr">
        <is>
          <t>Quanto falta, e quanto guardar por mês pra bater no prazo.</t>
        </is>
      </c>
      <c r="B3" s="63" t="n"/>
      <c r="C3" s="63" t="n"/>
      <c r="D3" s="63" t="n"/>
      <c r="E3" s="63" t="n"/>
      <c r="F3" s="63" t="n"/>
      <c r="G3" s="63" t="n"/>
      <c r="H3" s="63" t="n"/>
    </row>
    <row r="5" ht="26" customHeight="1">
      <c r="A5" s="27" t="inlineStr">
        <is>
          <t>Meta</t>
        </is>
      </c>
      <c r="B5" s="27" t="inlineStr">
        <is>
          <t>Valor alvo</t>
        </is>
      </c>
      <c r="C5" s="27" t="inlineStr">
        <is>
          <t>Já guardado</t>
        </is>
      </c>
      <c r="D5" s="27" t="inlineStr">
        <is>
          <t>Falta</t>
        </is>
      </c>
      <c r="E5" s="27" t="inlineStr">
        <is>
          <t>%</t>
        </is>
      </c>
      <c r="F5" s="27" t="inlineStr">
        <is>
          <t>Prazo</t>
        </is>
      </c>
      <c r="G5" s="27" t="inlineStr">
        <is>
          <t>Meses restantes</t>
        </is>
      </c>
      <c r="H5" s="27" t="inlineStr">
        <is>
          <t>Guardar por mês</t>
        </is>
      </c>
    </row>
    <row r="6">
      <c r="A6" s="35" t="n"/>
      <c r="B6" s="36" t="n"/>
      <c r="C6" s="36" t="n"/>
      <c r="D6" s="36">
        <f>IF($A6="","",MAX(0,$B6-$C6))</f>
        <v/>
      </c>
      <c r="E6" s="59">
        <f>IFERROR(IF($A6="","",MIN(1,$C6/$B6)),0)</f>
        <v/>
      </c>
      <c r="F6" s="34" t="n"/>
      <c r="G6" s="65">
        <f>IF(OR($A6="",$F6=""),"",MAX(0,DATEDIF(TODAY(),MAX($F6,TODAY()),"m")))</f>
        <v/>
      </c>
      <c r="H6" s="66">
        <f>IFERROR(IF(OR($A6="",$F6=""),"",IF($G6=0,$D6,$D6/$G6)),"")</f>
        <v/>
      </c>
    </row>
    <row r="7">
      <c r="A7" s="35" t="n"/>
      <c r="B7" s="36" t="n"/>
      <c r="C7" s="36" t="n"/>
      <c r="D7" s="36">
        <f>IF($A7="","",MAX(0,$B7-$C7))</f>
        <v/>
      </c>
      <c r="E7" s="59">
        <f>IFERROR(IF($A7="","",MIN(1,$C7/$B7)),0)</f>
        <v/>
      </c>
      <c r="F7" s="34" t="n"/>
      <c r="G7" s="65">
        <f>IF(OR($A7="",$F7=""),"",MAX(0,DATEDIF(TODAY(),MAX($F7,TODAY()),"m")))</f>
        <v/>
      </c>
      <c r="H7" s="66">
        <f>IFERROR(IF(OR($A7="",$F7=""),"",IF($G7=0,$D7,$D7/$G7)),"")</f>
        <v/>
      </c>
    </row>
    <row r="8">
      <c r="A8" s="35" t="n"/>
      <c r="B8" s="36" t="n"/>
      <c r="C8" s="36" t="n"/>
      <c r="D8" s="36">
        <f>IF($A8="","",MAX(0,$B8-$C8))</f>
        <v/>
      </c>
      <c r="E8" s="59">
        <f>IFERROR(IF($A8="","",MIN(1,$C8/$B8)),0)</f>
        <v/>
      </c>
      <c r="F8" s="34" t="n"/>
      <c r="G8" s="65">
        <f>IF(OR($A8="",$F8=""),"",MAX(0,DATEDIF(TODAY(),MAX($F8,TODAY()),"m")))</f>
        <v/>
      </c>
      <c r="H8" s="66">
        <f>IFERROR(IF(OR($A8="",$F8=""),"",IF($G8=0,$D8,$D8/$G8)),"")</f>
        <v/>
      </c>
    </row>
    <row r="9">
      <c r="A9" s="35" t="n"/>
      <c r="B9" s="36" t="n"/>
      <c r="C9" s="36" t="n"/>
      <c r="D9" s="36">
        <f>IF($A9="","",MAX(0,$B9-$C9))</f>
        <v/>
      </c>
      <c r="E9" s="59">
        <f>IFERROR(IF($A9="","",MIN(1,$C9/$B9)),0)</f>
        <v/>
      </c>
      <c r="F9" s="34" t="n"/>
      <c r="G9" s="65">
        <f>IF(OR($A9="",$F9=""),"",MAX(0,DATEDIF(TODAY(),MAX($F9,TODAY()),"m")))</f>
        <v/>
      </c>
      <c r="H9" s="66">
        <f>IFERROR(IF(OR($A9="",$F9=""),"",IF($G9=0,$D9,$D9/$G9)),"")</f>
        <v/>
      </c>
    </row>
    <row r="10">
      <c r="A10" s="35" t="n"/>
      <c r="B10" s="36" t="n"/>
      <c r="C10" s="36" t="n"/>
      <c r="D10" s="36">
        <f>IF($A10="","",MAX(0,$B10-$C10))</f>
        <v/>
      </c>
      <c r="E10" s="59">
        <f>IFERROR(IF($A10="","",MIN(1,$C10/$B10)),0)</f>
        <v/>
      </c>
      <c r="F10" s="34" t="n"/>
      <c r="G10" s="65">
        <f>IF(OR($A10="",$F10=""),"",MAX(0,DATEDIF(TODAY(),MAX($F10,TODAY()),"m")))</f>
        <v/>
      </c>
      <c r="H10" s="66">
        <f>IFERROR(IF(OR($A10="",$F10=""),"",IF($G10=0,$D10,$D10/$G10)),"")</f>
        <v/>
      </c>
    </row>
    <row r="11">
      <c r="A11" s="35" t="n"/>
      <c r="B11" s="36" t="n"/>
      <c r="C11" s="36" t="n"/>
      <c r="D11" s="36">
        <f>IF($A11="","",MAX(0,$B11-$C11))</f>
        <v/>
      </c>
      <c r="E11" s="59">
        <f>IFERROR(IF($A11="","",MIN(1,$C11/$B11)),0)</f>
        <v/>
      </c>
      <c r="F11" s="34" t="n"/>
      <c r="G11" s="65">
        <f>IF(OR($A11="",$F11=""),"",MAX(0,DATEDIF(TODAY(),MAX($F11,TODAY()),"m")))</f>
        <v/>
      </c>
      <c r="H11" s="66">
        <f>IFERROR(IF(OR($A11="",$F11=""),"",IF($G11=0,$D11,$D11/$G11)),"")</f>
        <v/>
      </c>
    </row>
    <row r="12">
      <c r="A12" s="35" t="n"/>
      <c r="B12" s="36" t="n"/>
      <c r="C12" s="36" t="n"/>
      <c r="D12" s="36">
        <f>IF($A12="","",MAX(0,$B12-$C12))</f>
        <v/>
      </c>
      <c r="E12" s="59">
        <f>IFERROR(IF($A12="","",MIN(1,$C12/$B12)),0)</f>
        <v/>
      </c>
      <c r="F12" s="34" t="n"/>
      <c r="G12" s="65">
        <f>IF(OR($A12="",$F12=""),"",MAX(0,DATEDIF(TODAY(),MAX($F12,TODAY()),"m")))</f>
        <v/>
      </c>
      <c r="H12" s="66">
        <f>IFERROR(IF(OR($A12="",$F12=""),"",IF($G12=0,$D12,$D12/$G12)),"")</f>
        <v/>
      </c>
    </row>
    <row r="13">
      <c r="A13" s="35" t="n"/>
      <c r="B13" s="36" t="n"/>
      <c r="C13" s="36" t="n"/>
      <c r="D13" s="36">
        <f>IF($A13="","",MAX(0,$B13-$C13))</f>
        <v/>
      </c>
      <c r="E13" s="59">
        <f>IFERROR(IF($A13="","",MIN(1,$C13/$B13)),0)</f>
        <v/>
      </c>
      <c r="F13" s="34" t="n"/>
      <c r="G13" s="65">
        <f>IF(OR($A13="",$F13=""),"",MAX(0,DATEDIF(TODAY(),MAX($F13,TODAY()),"m")))</f>
        <v/>
      </c>
      <c r="H13" s="66">
        <f>IFERROR(IF(OR($A13="",$F13=""),"",IF($G13=0,$D13,$D13/$G13)),"")</f>
        <v/>
      </c>
    </row>
    <row r="14">
      <c r="A14" s="35" t="n"/>
      <c r="B14" s="36" t="n"/>
      <c r="C14" s="36" t="n"/>
      <c r="D14" s="36">
        <f>IF($A14="","",MAX(0,$B14-$C14))</f>
        <v/>
      </c>
      <c r="E14" s="59">
        <f>IFERROR(IF($A14="","",MIN(1,$C14/$B14)),0)</f>
        <v/>
      </c>
      <c r="F14" s="34" t="n"/>
      <c r="G14" s="65">
        <f>IF(OR($A14="",$F14=""),"",MAX(0,DATEDIF(TODAY(),MAX($F14,TODAY()),"m")))</f>
        <v/>
      </c>
      <c r="H14" s="66">
        <f>IFERROR(IF(OR($A14="",$F14=""),"",IF($G14=0,$D14,$D14/$G14)),"")</f>
        <v/>
      </c>
    </row>
    <row r="15">
      <c r="A15" s="35" t="n"/>
      <c r="B15" s="36" t="n"/>
      <c r="C15" s="36" t="n"/>
      <c r="D15" s="36">
        <f>IF($A15="","",MAX(0,$B15-$C15))</f>
        <v/>
      </c>
      <c r="E15" s="59">
        <f>IFERROR(IF($A15="","",MIN(1,$C15/$B15)),0)</f>
        <v/>
      </c>
      <c r="F15" s="34" t="n"/>
      <c r="G15" s="65">
        <f>IF(OR($A15="",$F15=""),"",MAX(0,DATEDIF(TODAY(),MAX($F15,TODAY()),"m")))</f>
        <v/>
      </c>
      <c r="H15" s="66">
        <f>IFERROR(IF(OR($A15="",$F15=""),"",IF($G15=0,$D15,$D15/$G15)),"")</f>
        <v/>
      </c>
    </row>
    <row r="16">
      <c r="A16" s="35" t="n"/>
      <c r="B16" s="36" t="n"/>
      <c r="C16" s="36" t="n"/>
      <c r="D16" s="36">
        <f>IF($A16="","",MAX(0,$B16-$C16))</f>
        <v/>
      </c>
      <c r="E16" s="59">
        <f>IFERROR(IF($A16="","",MIN(1,$C16/$B16)),0)</f>
        <v/>
      </c>
      <c r="F16" s="34" t="n"/>
      <c r="G16" s="65">
        <f>IF(OR($A16="",$F16=""),"",MAX(0,DATEDIF(TODAY(),MAX($F16,TODAY()),"m")))</f>
        <v/>
      </c>
      <c r="H16" s="66">
        <f>IFERROR(IF(OR($A16="",$F16=""),"",IF($G16=0,$D16,$D16/$G16)),"")</f>
        <v/>
      </c>
    </row>
    <row r="17">
      <c r="A17" s="35" t="n"/>
      <c r="B17" s="36" t="n"/>
      <c r="C17" s="36" t="n"/>
      <c r="D17" s="36">
        <f>IF($A17="","",MAX(0,$B17-$C17))</f>
        <v/>
      </c>
      <c r="E17" s="59">
        <f>IFERROR(IF($A17="","",MIN(1,$C17/$B17)),0)</f>
        <v/>
      </c>
      <c r="F17" s="34" t="n"/>
      <c r="G17" s="65">
        <f>IF(OR($A17="",$F17=""),"",MAX(0,DATEDIF(TODAY(),MAX($F17,TODAY()),"m")))</f>
        <v/>
      </c>
      <c r="H17" s="66">
        <f>IFERROR(IF(OR($A17="",$F17=""),"",IF($G17=0,$D17,$D17/$G17)),"")</f>
        <v/>
      </c>
    </row>
    <row r="18">
      <c r="A18" s="35" t="n"/>
      <c r="B18" s="36" t="n"/>
      <c r="C18" s="36" t="n"/>
      <c r="D18" s="36">
        <f>IF($A18="","",MAX(0,$B18-$C18))</f>
        <v/>
      </c>
      <c r="E18" s="59">
        <f>IFERROR(IF($A18="","",MIN(1,$C18/$B18)),0)</f>
        <v/>
      </c>
      <c r="F18" s="34" t="n"/>
      <c r="G18" s="65">
        <f>IF(OR($A18="",$F18=""),"",MAX(0,DATEDIF(TODAY(),MAX($F18,TODAY()),"m")))</f>
        <v/>
      </c>
      <c r="H18" s="66">
        <f>IFERROR(IF(OR($A18="",$F18=""),"",IF($G18=0,$D18,$D18/$G18)),"")</f>
        <v/>
      </c>
    </row>
    <row r="19">
      <c r="A19" s="35" t="n"/>
      <c r="B19" s="36" t="n"/>
      <c r="C19" s="36" t="n"/>
      <c r="D19" s="36">
        <f>IF($A19="","",MAX(0,$B19-$C19))</f>
        <v/>
      </c>
      <c r="E19" s="59">
        <f>IFERROR(IF($A19="","",MIN(1,$C19/$B19)),0)</f>
        <v/>
      </c>
      <c r="F19" s="34" t="n"/>
      <c r="G19" s="65">
        <f>IF(OR($A19="",$F19=""),"",MAX(0,DATEDIF(TODAY(),MAX($F19,TODAY()),"m")))</f>
        <v/>
      </c>
      <c r="H19" s="66">
        <f>IFERROR(IF(OR($A19="",$F19=""),"",IF($G19=0,$D19,$D19/$G19)),"")</f>
        <v/>
      </c>
    </row>
    <row r="20">
      <c r="A20" s="35" t="n"/>
      <c r="B20" s="36" t="n"/>
      <c r="C20" s="36" t="n"/>
      <c r="D20" s="36">
        <f>IF($A20="","",MAX(0,$B20-$C20))</f>
        <v/>
      </c>
      <c r="E20" s="59">
        <f>IFERROR(IF($A20="","",MIN(1,$C20/$B20)),0)</f>
        <v/>
      </c>
      <c r="F20" s="34" t="n"/>
      <c r="G20" s="65">
        <f>IF(OR($A20="",$F20=""),"",MAX(0,DATEDIF(TODAY(),MAX($F20,TODAY()),"m")))</f>
        <v/>
      </c>
      <c r="H20" s="66">
        <f>IFERROR(IF(OR($A20="",$F20=""),"",IF($G20=0,$D20,$D20/$G20)),"")</f>
        <v/>
      </c>
    </row>
    <row r="21">
      <c r="A21" s="35" t="n"/>
      <c r="B21" s="36" t="n"/>
      <c r="C21" s="36" t="n"/>
      <c r="D21" s="36">
        <f>IF($A21="","",MAX(0,$B21-$C21))</f>
        <v/>
      </c>
      <c r="E21" s="59">
        <f>IFERROR(IF($A21="","",MIN(1,$C21/$B21)),0)</f>
        <v/>
      </c>
      <c r="F21" s="34" t="n"/>
      <c r="G21" s="65">
        <f>IF(OR($A21="",$F21=""),"",MAX(0,DATEDIF(TODAY(),MAX($F21,TODAY()),"m")))</f>
        <v/>
      </c>
      <c r="H21" s="66">
        <f>IFERROR(IF(OR($A21="",$F21=""),"",IF($G21=0,$D21,$D21/$G21)),"")</f>
        <v/>
      </c>
    </row>
    <row r="22">
      <c r="A22" s="35" t="n"/>
      <c r="B22" s="36" t="n"/>
      <c r="C22" s="36" t="n"/>
      <c r="D22" s="36">
        <f>IF($A22="","",MAX(0,$B22-$C22))</f>
        <v/>
      </c>
      <c r="E22" s="59">
        <f>IFERROR(IF($A22="","",MIN(1,$C22/$B22)),0)</f>
        <v/>
      </c>
      <c r="F22" s="34" t="n"/>
      <c r="G22" s="65">
        <f>IF(OR($A22="",$F22=""),"",MAX(0,DATEDIF(TODAY(),MAX($F22,TODAY()),"m")))</f>
        <v/>
      </c>
      <c r="H22" s="66">
        <f>IFERROR(IF(OR($A22="",$F22=""),"",IF($G22=0,$D22,$D22/$G22)),"")</f>
        <v/>
      </c>
    </row>
    <row r="23">
      <c r="A23" s="35" t="n"/>
      <c r="B23" s="36" t="n"/>
      <c r="C23" s="36" t="n"/>
      <c r="D23" s="36">
        <f>IF($A23="","",MAX(0,$B23-$C23))</f>
        <v/>
      </c>
      <c r="E23" s="59">
        <f>IFERROR(IF($A23="","",MIN(1,$C23/$B23)),0)</f>
        <v/>
      </c>
      <c r="F23" s="34" t="n"/>
      <c r="G23" s="65">
        <f>IF(OR($A23="",$F23=""),"",MAX(0,DATEDIF(TODAY(),MAX($F23,TODAY()),"m")))</f>
        <v/>
      </c>
      <c r="H23" s="66">
        <f>IFERROR(IF(OR($A23="",$F23=""),"",IF($G23=0,$D23,$D23/$G23)),"")</f>
        <v/>
      </c>
    </row>
    <row r="24">
      <c r="A24" s="35" t="n"/>
      <c r="B24" s="36" t="n"/>
      <c r="C24" s="36" t="n"/>
      <c r="D24" s="36">
        <f>IF($A24="","",MAX(0,$B24-$C24))</f>
        <v/>
      </c>
      <c r="E24" s="59">
        <f>IFERROR(IF($A24="","",MIN(1,$C24/$B24)),0)</f>
        <v/>
      </c>
      <c r="F24" s="34" t="n"/>
      <c r="G24" s="65">
        <f>IF(OR($A24="",$F24=""),"",MAX(0,DATEDIF(TODAY(),MAX($F24,TODAY()),"m")))</f>
        <v/>
      </c>
      <c r="H24" s="66">
        <f>IFERROR(IF(OR($A24="",$F24=""),"",IF($G24=0,$D24,$D24/$G24)),"")</f>
        <v/>
      </c>
    </row>
    <row r="25">
      <c r="A25" s="35" t="n"/>
      <c r="B25" s="36" t="n"/>
      <c r="C25" s="36" t="n"/>
      <c r="D25" s="36">
        <f>IF($A25="","",MAX(0,$B25-$C25))</f>
        <v/>
      </c>
      <c r="E25" s="59">
        <f>IFERROR(IF($A25="","",MIN(1,$C25/$B25)),0)</f>
        <v/>
      </c>
      <c r="F25" s="34" t="n"/>
      <c r="G25" s="65">
        <f>IF(OR($A25="",$F25=""),"",MAX(0,DATEDIF(TODAY(),MAX($F25,TODAY()),"m")))</f>
        <v/>
      </c>
      <c r="H25" s="66">
        <f>IFERROR(IF(OR($A25="",$F25=""),"",IF($G25=0,$D25,$D25/$G25)),"")</f>
        <v/>
      </c>
    </row>
  </sheetData>
  <mergeCells count="3">
    <mergeCell ref="A3:H3"/>
    <mergeCell ref="A2:H2"/>
    <mergeCell ref="A1:H1"/>
  </mergeCells>
  <conditionalFormatting sqref="E6:E25">
    <cfRule type="dataBar" priority="1">
      <dataBar>
        <cfvo type="num" val="0"/>
        <cfvo type="num" val="1"/>
        <color rgb="00059669"/>
      </dataBar>
    </cfRule>
  </conditionalFormatting>
  <conditionalFormatting sqref="A6:H25">
    <cfRule type="expression" priority="2" dxfId="8" stopIfTrue="0">
      <formula>ISEVEN(ROW())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B5CF6"/>
    <outlinePr summaryBelow="1" summaryRight="1"/>
    <pageSetUpPr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8" customWidth="1" min="3" max="3"/>
    <col width="15" customWidth="1" min="4" max="4"/>
    <col width="12" customWidth="1" min="5" max="5"/>
    <col width="13" customWidth="1" min="6" max="6"/>
    <col width="18" customWidth="1" min="7" max="7"/>
  </cols>
  <sheetData>
    <row r="1" ht="42" customHeight="1">
      <c r="A1" s="67" t="inlineStr">
        <is>
          <t>Finn.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68" t="inlineStr">
        <is>
          <t>Contas fixas</t>
        </is>
      </c>
      <c r="B2" s="69" t="n"/>
      <c r="C2" s="69" t="n"/>
      <c r="D2" s="69" t="n"/>
      <c r="E2" s="69" t="n"/>
      <c r="F2" s="69" t="n"/>
      <c r="G2" s="69" t="n"/>
    </row>
    <row r="3" ht="18" customHeight="1">
      <c r="A3" s="70" t="inlineStr">
        <is>
          <t>O que se repete todo mês. A coluna Situação olha o mês de referência.</t>
        </is>
      </c>
      <c r="B3" s="69" t="n"/>
      <c r="C3" s="69" t="n"/>
      <c r="D3" s="69" t="n"/>
      <c r="E3" s="69" t="n"/>
      <c r="F3" s="69" t="n"/>
      <c r="G3" s="69" t="n"/>
    </row>
    <row r="5" ht="26" customHeight="1">
      <c r="A5" s="27" t="inlineStr">
        <is>
          <t>Descrição</t>
        </is>
      </c>
      <c r="B5" s="27" t="inlineStr">
        <is>
          <t>Tipo</t>
        </is>
      </c>
      <c r="C5" s="27" t="inlineStr">
        <is>
          <t>Categoria</t>
        </is>
      </c>
      <c r="D5" s="27" t="inlineStr">
        <is>
          <t>Valor</t>
        </is>
      </c>
      <c r="E5" s="27" t="inlineStr">
        <is>
          <t>Dia do mês</t>
        </is>
      </c>
      <c r="F5" s="27" t="inlineStr">
        <is>
          <t>Já lançou?</t>
        </is>
      </c>
      <c r="G5" s="27" t="inlineStr">
        <is>
          <t>Situação</t>
        </is>
      </c>
    </row>
    <row r="6">
      <c r="A6" s="35" t="n"/>
      <c r="B6" s="35" t="n"/>
      <c r="C6" s="35" t="n"/>
      <c r="D6" s="36" t="n"/>
      <c r="E6" s="65" t="n"/>
      <c r="F6" s="71">
        <f>IF($A6="","",IF(COUNTIFS('Lançamentos'!$F$6:$F$905,Config!$D$7,'Lançamentos'!$D$6:$D$905,$A6)&gt;0,"Sim","Não"))</f>
        <v/>
      </c>
      <c r="G6" s="35">
        <f>IF($A6="","",IF($F6="Sim","Lançada",IF(DAY(TODAY())&gt;$E6,"Atrasada","A vencer dia "&amp;$E6)))</f>
        <v/>
      </c>
    </row>
    <row r="7">
      <c r="A7" s="35" t="n"/>
      <c r="B7" s="35" t="n"/>
      <c r="C7" s="35" t="n"/>
      <c r="D7" s="36" t="n"/>
      <c r="E7" s="65" t="n"/>
      <c r="F7" s="71">
        <f>IF($A7="","",IF(COUNTIFS('Lançamentos'!$F$6:$F$905,Config!$D$7,'Lançamentos'!$D$6:$D$905,$A7)&gt;0,"Sim","Não"))</f>
        <v/>
      </c>
      <c r="G7" s="35">
        <f>IF($A7="","",IF($F7="Sim","Lançada",IF(DAY(TODAY())&gt;$E7,"Atrasada","A vencer dia "&amp;$E7)))</f>
        <v/>
      </c>
    </row>
    <row r="8">
      <c r="A8" s="35" t="n"/>
      <c r="B8" s="35" t="n"/>
      <c r="C8" s="35" t="n"/>
      <c r="D8" s="36" t="n"/>
      <c r="E8" s="65" t="n"/>
      <c r="F8" s="71">
        <f>IF($A8="","",IF(COUNTIFS('Lançamentos'!$F$6:$F$905,Config!$D$7,'Lançamentos'!$D$6:$D$905,$A8)&gt;0,"Sim","Não"))</f>
        <v/>
      </c>
      <c r="G8" s="35">
        <f>IF($A8="","",IF($F8="Sim","Lançada",IF(DAY(TODAY())&gt;$E8,"Atrasada","A vencer dia "&amp;$E8)))</f>
        <v/>
      </c>
    </row>
    <row r="9">
      <c r="A9" s="35" t="n"/>
      <c r="B9" s="35" t="n"/>
      <c r="C9" s="35" t="n"/>
      <c r="D9" s="36" t="n"/>
      <c r="E9" s="65" t="n"/>
      <c r="F9" s="71">
        <f>IF($A9="","",IF(COUNTIFS('Lançamentos'!$F$6:$F$905,Config!$D$7,'Lançamentos'!$D$6:$D$905,$A9)&gt;0,"Sim","Não"))</f>
        <v/>
      </c>
      <c r="G9" s="35">
        <f>IF($A9="","",IF($F9="Sim","Lançada",IF(DAY(TODAY())&gt;$E9,"Atrasada","A vencer dia "&amp;$E9)))</f>
        <v/>
      </c>
    </row>
    <row r="10">
      <c r="A10" s="35" t="n"/>
      <c r="B10" s="35" t="n"/>
      <c r="C10" s="35" t="n"/>
      <c r="D10" s="36" t="n"/>
      <c r="E10" s="65" t="n"/>
      <c r="F10" s="71">
        <f>IF($A10="","",IF(COUNTIFS('Lançamentos'!$F$6:$F$905,Config!$D$7,'Lançamentos'!$D$6:$D$905,$A10)&gt;0,"Sim","Não"))</f>
        <v/>
      </c>
      <c r="G10" s="35">
        <f>IF($A10="","",IF($F10="Sim","Lançada",IF(DAY(TODAY())&gt;$E10,"Atrasada","A vencer dia "&amp;$E10)))</f>
        <v/>
      </c>
    </row>
    <row r="11">
      <c r="A11" s="35" t="n"/>
      <c r="B11" s="35" t="n"/>
      <c r="C11" s="35" t="n"/>
      <c r="D11" s="36" t="n"/>
      <c r="E11" s="65" t="n"/>
      <c r="F11" s="71">
        <f>IF($A11="","",IF(COUNTIFS('Lançamentos'!$F$6:$F$905,Config!$D$7,'Lançamentos'!$D$6:$D$905,$A11)&gt;0,"Sim","Não"))</f>
        <v/>
      </c>
      <c r="G11" s="35">
        <f>IF($A11="","",IF($F11="Sim","Lançada",IF(DAY(TODAY())&gt;$E11,"Atrasada","A vencer dia "&amp;$E11)))</f>
        <v/>
      </c>
    </row>
    <row r="12">
      <c r="A12" s="35" t="n"/>
      <c r="B12" s="35" t="n"/>
      <c r="C12" s="35" t="n"/>
      <c r="D12" s="36" t="n"/>
      <c r="E12" s="65" t="n"/>
      <c r="F12" s="71">
        <f>IF($A12="","",IF(COUNTIFS('Lançamentos'!$F$6:$F$905,Config!$D$7,'Lançamentos'!$D$6:$D$905,$A12)&gt;0,"Sim","Não"))</f>
        <v/>
      </c>
      <c r="G12" s="35">
        <f>IF($A12="","",IF($F12="Sim","Lançada",IF(DAY(TODAY())&gt;$E12,"Atrasada","A vencer dia "&amp;$E12)))</f>
        <v/>
      </c>
    </row>
    <row r="13">
      <c r="A13" s="35" t="n"/>
      <c r="B13" s="35" t="n"/>
      <c r="C13" s="35" t="n"/>
      <c r="D13" s="36" t="n"/>
      <c r="E13" s="65" t="n"/>
      <c r="F13" s="71">
        <f>IF($A13="","",IF(COUNTIFS('Lançamentos'!$F$6:$F$905,Config!$D$7,'Lançamentos'!$D$6:$D$905,$A13)&gt;0,"Sim","Não"))</f>
        <v/>
      </c>
      <c r="G13" s="35">
        <f>IF($A13="","",IF($F13="Sim","Lançada",IF(DAY(TODAY())&gt;$E13,"Atrasada","A vencer dia "&amp;$E13)))</f>
        <v/>
      </c>
    </row>
    <row r="14">
      <c r="A14" s="35" t="n"/>
      <c r="B14" s="35" t="n"/>
      <c r="C14" s="35" t="n"/>
      <c r="D14" s="36" t="n"/>
      <c r="E14" s="65" t="n"/>
      <c r="F14" s="71">
        <f>IF($A14="","",IF(COUNTIFS('Lançamentos'!$F$6:$F$905,Config!$D$7,'Lançamentos'!$D$6:$D$905,$A14)&gt;0,"Sim","Não"))</f>
        <v/>
      </c>
      <c r="G14" s="35">
        <f>IF($A14="","",IF($F14="Sim","Lançada",IF(DAY(TODAY())&gt;$E14,"Atrasada","A vencer dia "&amp;$E14)))</f>
        <v/>
      </c>
    </row>
    <row r="15">
      <c r="A15" s="35" t="n"/>
      <c r="B15" s="35" t="n"/>
      <c r="C15" s="35" t="n"/>
      <c r="D15" s="36" t="n"/>
      <c r="E15" s="65" t="n"/>
      <c r="F15" s="71">
        <f>IF($A15="","",IF(COUNTIFS('Lançamentos'!$F$6:$F$905,Config!$D$7,'Lançamentos'!$D$6:$D$905,$A15)&gt;0,"Sim","Não"))</f>
        <v/>
      </c>
      <c r="G15" s="35">
        <f>IF($A15="","",IF($F15="Sim","Lançada",IF(DAY(TODAY())&gt;$E15,"Atrasada","A vencer dia "&amp;$E15)))</f>
        <v/>
      </c>
    </row>
    <row r="16">
      <c r="A16" s="35" t="n"/>
      <c r="B16" s="35" t="n"/>
      <c r="C16" s="35" t="n"/>
      <c r="D16" s="36" t="n"/>
      <c r="E16" s="65" t="n"/>
      <c r="F16" s="71">
        <f>IF($A16="","",IF(COUNTIFS('Lançamentos'!$F$6:$F$905,Config!$D$7,'Lançamentos'!$D$6:$D$905,$A16)&gt;0,"Sim","Não"))</f>
        <v/>
      </c>
      <c r="G16" s="35">
        <f>IF($A16="","",IF($F16="Sim","Lançada",IF(DAY(TODAY())&gt;$E16,"Atrasada","A vencer dia "&amp;$E16)))</f>
        <v/>
      </c>
    </row>
    <row r="17">
      <c r="A17" s="35" t="n"/>
      <c r="B17" s="35" t="n"/>
      <c r="C17" s="35" t="n"/>
      <c r="D17" s="36" t="n"/>
      <c r="E17" s="65" t="n"/>
      <c r="F17" s="71">
        <f>IF($A17="","",IF(COUNTIFS('Lançamentos'!$F$6:$F$905,Config!$D$7,'Lançamentos'!$D$6:$D$905,$A17)&gt;0,"Sim","Não"))</f>
        <v/>
      </c>
      <c r="G17" s="35">
        <f>IF($A17="","",IF($F17="Sim","Lançada",IF(DAY(TODAY())&gt;$E17,"Atrasada","A vencer dia "&amp;$E17)))</f>
        <v/>
      </c>
    </row>
    <row r="18">
      <c r="A18" s="35" t="n"/>
      <c r="B18" s="35" t="n"/>
      <c r="C18" s="35" t="n"/>
      <c r="D18" s="36" t="n"/>
      <c r="E18" s="65" t="n"/>
      <c r="F18" s="71">
        <f>IF($A18="","",IF(COUNTIFS('Lançamentos'!$F$6:$F$905,Config!$D$7,'Lançamentos'!$D$6:$D$905,$A18)&gt;0,"Sim","Não"))</f>
        <v/>
      </c>
      <c r="G18" s="35">
        <f>IF($A18="","",IF($F18="Sim","Lançada",IF(DAY(TODAY())&gt;$E18,"Atrasada","A vencer dia "&amp;$E18)))</f>
        <v/>
      </c>
    </row>
    <row r="19">
      <c r="A19" s="35" t="n"/>
      <c r="B19" s="35" t="n"/>
      <c r="C19" s="35" t="n"/>
      <c r="D19" s="36" t="n"/>
      <c r="E19" s="65" t="n"/>
      <c r="F19" s="71">
        <f>IF($A19="","",IF(COUNTIFS('Lançamentos'!$F$6:$F$905,Config!$D$7,'Lançamentos'!$D$6:$D$905,$A19)&gt;0,"Sim","Não"))</f>
        <v/>
      </c>
      <c r="G19" s="35">
        <f>IF($A19="","",IF($F19="Sim","Lançada",IF(DAY(TODAY())&gt;$E19,"Atrasada","A vencer dia "&amp;$E19)))</f>
        <v/>
      </c>
    </row>
    <row r="20">
      <c r="A20" s="35" t="n"/>
      <c r="B20" s="35" t="n"/>
      <c r="C20" s="35" t="n"/>
      <c r="D20" s="36" t="n"/>
      <c r="E20" s="65" t="n"/>
      <c r="F20" s="71">
        <f>IF($A20="","",IF(COUNTIFS('Lançamentos'!$F$6:$F$905,Config!$D$7,'Lançamentos'!$D$6:$D$905,$A20)&gt;0,"Sim","Não"))</f>
        <v/>
      </c>
      <c r="G20" s="35">
        <f>IF($A20="","",IF($F20="Sim","Lançada",IF(DAY(TODAY())&gt;$E20,"Atrasada","A vencer dia "&amp;$E20)))</f>
        <v/>
      </c>
    </row>
    <row r="21">
      <c r="A21" s="35" t="n"/>
      <c r="B21" s="35" t="n"/>
      <c r="C21" s="35" t="n"/>
      <c r="D21" s="36" t="n"/>
      <c r="E21" s="65" t="n"/>
      <c r="F21" s="71">
        <f>IF($A21="","",IF(COUNTIFS('Lançamentos'!$F$6:$F$905,Config!$D$7,'Lançamentos'!$D$6:$D$905,$A21)&gt;0,"Sim","Não"))</f>
        <v/>
      </c>
      <c r="G21" s="35">
        <f>IF($A21="","",IF($F21="Sim","Lançada",IF(DAY(TODAY())&gt;$E21,"Atrasada","A vencer dia "&amp;$E21)))</f>
        <v/>
      </c>
    </row>
    <row r="22">
      <c r="A22" s="35" t="n"/>
      <c r="B22" s="35" t="n"/>
      <c r="C22" s="35" t="n"/>
      <c r="D22" s="36" t="n"/>
      <c r="E22" s="65" t="n"/>
      <c r="F22" s="71">
        <f>IF($A22="","",IF(COUNTIFS('Lançamentos'!$F$6:$F$905,Config!$D$7,'Lançamentos'!$D$6:$D$905,$A22)&gt;0,"Sim","Não"))</f>
        <v/>
      </c>
      <c r="G22" s="35">
        <f>IF($A22="","",IF($F22="Sim","Lançada",IF(DAY(TODAY())&gt;$E22,"Atrasada","A vencer dia "&amp;$E22)))</f>
        <v/>
      </c>
    </row>
    <row r="23">
      <c r="A23" s="35" t="n"/>
      <c r="B23" s="35" t="n"/>
      <c r="C23" s="35" t="n"/>
      <c r="D23" s="36" t="n"/>
      <c r="E23" s="65" t="n"/>
      <c r="F23" s="71">
        <f>IF($A23="","",IF(COUNTIFS('Lançamentos'!$F$6:$F$905,Config!$D$7,'Lançamentos'!$D$6:$D$905,$A23)&gt;0,"Sim","Não"))</f>
        <v/>
      </c>
      <c r="G23" s="35">
        <f>IF($A23="","",IF($F23="Sim","Lançada",IF(DAY(TODAY())&gt;$E23,"Atrasada","A vencer dia "&amp;$E23)))</f>
        <v/>
      </c>
    </row>
    <row r="24">
      <c r="A24" s="35" t="n"/>
      <c r="B24" s="35" t="n"/>
      <c r="C24" s="35" t="n"/>
      <c r="D24" s="36" t="n"/>
      <c r="E24" s="65" t="n"/>
      <c r="F24" s="71">
        <f>IF($A24="","",IF(COUNTIFS('Lançamentos'!$F$6:$F$905,Config!$D$7,'Lançamentos'!$D$6:$D$905,$A24)&gt;0,"Sim","Não"))</f>
        <v/>
      </c>
      <c r="G24" s="35">
        <f>IF($A24="","",IF($F24="Sim","Lançada",IF(DAY(TODAY())&gt;$E24,"Atrasada","A vencer dia "&amp;$E24)))</f>
        <v/>
      </c>
    </row>
    <row r="25">
      <c r="A25" s="35" t="n"/>
      <c r="B25" s="35" t="n"/>
      <c r="C25" s="35" t="n"/>
      <c r="D25" s="36" t="n"/>
      <c r="E25" s="65" t="n"/>
      <c r="F25" s="71">
        <f>IF($A25="","",IF(COUNTIFS('Lançamentos'!$F$6:$F$905,Config!$D$7,'Lançamentos'!$D$6:$D$905,$A25)&gt;0,"Sim","Não"))</f>
        <v/>
      </c>
      <c r="G25" s="35">
        <f>IF($A25="","",IF($F25="Sim","Lançada",IF(DAY(TODAY())&gt;$E25,"Atrasada","A vencer dia "&amp;$E25)))</f>
        <v/>
      </c>
    </row>
    <row r="26">
      <c r="A26" s="35" t="n"/>
      <c r="B26" s="35" t="n"/>
      <c r="C26" s="35" t="n"/>
      <c r="D26" s="36" t="n"/>
      <c r="E26" s="65" t="n"/>
      <c r="F26" s="71">
        <f>IF($A26="","",IF(COUNTIFS('Lançamentos'!$F$6:$F$905,Config!$D$7,'Lançamentos'!$D$6:$D$905,$A26)&gt;0,"Sim","Não"))</f>
        <v/>
      </c>
      <c r="G26" s="35">
        <f>IF($A26="","",IF($F26="Sim","Lançada",IF(DAY(TODAY())&gt;$E26,"Atrasada","A vencer dia "&amp;$E26)))</f>
        <v/>
      </c>
    </row>
    <row r="27">
      <c r="A27" s="35" t="n"/>
      <c r="B27" s="35" t="n"/>
      <c r="C27" s="35" t="n"/>
      <c r="D27" s="36" t="n"/>
      <c r="E27" s="65" t="n"/>
      <c r="F27" s="71">
        <f>IF($A27="","",IF(COUNTIFS('Lançamentos'!$F$6:$F$905,Config!$D$7,'Lançamentos'!$D$6:$D$905,$A27)&gt;0,"Sim","Não"))</f>
        <v/>
      </c>
      <c r="G27" s="35">
        <f>IF($A27="","",IF($F27="Sim","Lançada",IF(DAY(TODAY())&gt;$E27,"Atrasada","A vencer dia "&amp;$E27)))</f>
        <v/>
      </c>
    </row>
    <row r="28">
      <c r="A28" s="35" t="n"/>
      <c r="B28" s="35" t="n"/>
      <c r="C28" s="35" t="n"/>
      <c r="D28" s="36" t="n"/>
      <c r="E28" s="65" t="n"/>
      <c r="F28" s="71">
        <f>IF($A28="","",IF(COUNTIFS('Lançamentos'!$F$6:$F$905,Config!$D$7,'Lançamentos'!$D$6:$D$905,$A28)&gt;0,"Sim","Não"))</f>
        <v/>
      </c>
      <c r="G28" s="35">
        <f>IF($A28="","",IF($F28="Sim","Lançada",IF(DAY(TODAY())&gt;$E28,"Atrasada","A vencer dia "&amp;$E28)))</f>
        <v/>
      </c>
    </row>
    <row r="29">
      <c r="A29" s="35" t="n"/>
      <c r="B29" s="35" t="n"/>
      <c r="C29" s="35" t="n"/>
      <c r="D29" s="36" t="n"/>
      <c r="E29" s="65" t="n"/>
      <c r="F29" s="71">
        <f>IF($A29="","",IF(COUNTIFS('Lançamentos'!$F$6:$F$905,Config!$D$7,'Lançamentos'!$D$6:$D$905,$A29)&gt;0,"Sim","Não"))</f>
        <v/>
      </c>
      <c r="G29" s="35">
        <f>IF($A29="","",IF($F29="Sim","Lançada",IF(DAY(TODAY())&gt;$E29,"Atrasada","A vencer dia "&amp;$E29)))</f>
        <v/>
      </c>
    </row>
    <row r="30">
      <c r="A30" s="35" t="n"/>
      <c r="B30" s="35" t="n"/>
      <c r="C30" s="35" t="n"/>
      <c r="D30" s="36" t="n"/>
      <c r="E30" s="65" t="n"/>
      <c r="F30" s="71">
        <f>IF($A30="","",IF(COUNTIFS('Lançamentos'!$F$6:$F$905,Config!$D$7,'Lançamentos'!$D$6:$D$905,$A30)&gt;0,"Sim","Não"))</f>
        <v/>
      </c>
      <c r="G30" s="35">
        <f>IF($A30="","",IF($F30="Sim","Lançada",IF(DAY(TODAY())&gt;$E30,"Atrasada","A vencer dia "&amp;$E30)))</f>
        <v/>
      </c>
    </row>
    <row r="31">
      <c r="A31" s="35" t="n"/>
      <c r="B31" s="35" t="n"/>
      <c r="C31" s="35" t="n"/>
      <c r="D31" s="36" t="n"/>
      <c r="E31" s="65" t="n"/>
      <c r="F31" s="71">
        <f>IF($A31="","",IF(COUNTIFS('Lançamentos'!$F$6:$F$905,Config!$D$7,'Lançamentos'!$D$6:$D$905,$A31)&gt;0,"Sim","Não"))</f>
        <v/>
      </c>
      <c r="G31" s="35">
        <f>IF($A31="","",IF($F31="Sim","Lançada",IF(DAY(TODAY())&gt;$E31,"Atrasada","A vencer dia "&amp;$E31)))</f>
        <v/>
      </c>
    </row>
    <row r="32">
      <c r="A32" s="35" t="n"/>
      <c r="B32" s="35" t="n"/>
      <c r="C32" s="35" t="n"/>
      <c r="D32" s="36" t="n"/>
      <c r="E32" s="65" t="n"/>
      <c r="F32" s="71">
        <f>IF($A32="","",IF(COUNTIFS('Lançamentos'!$F$6:$F$905,Config!$D$7,'Lançamentos'!$D$6:$D$905,$A32)&gt;0,"Sim","Não"))</f>
        <v/>
      </c>
      <c r="G32" s="35">
        <f>IF($A32="","",IF($F32="Sim","Lançada",IF(DAY(TODAY())&gt;$E32,"Atrasada","A vencer dia "&amp;$E32)))</f>
        <v/>
      </c>
    </row>
    <row r="33">
      <c r="A33" s="35" t="n"/>
      <c r="B33" s="35" t="n"/>
      <c r="C33" s="35" t="n"/>
      <c r="D33" s="36" t="n"/>
      <c r="E33" s="65" t="n"/>
      <c r="F33" s="71">
        <f>IF($A33="","",IF(COUNTIFS('Lançamentos'!$F$6:$F$905,Config!$D$7,'Lançamentos'!$D$6:$D$905,$A33)&gt;0,"Sim","Não"))</f>
        <v/>
      </c>
      <c r="G33" s="35">
        <f>IF($A33="","",IF($F33="Sim","Lançada",IF(DAY(TODAY())&gt;$E33,"Atrasada","A vencer dia "&amp;$E33)))</f>
        <v/>
      </c>
    </row>
    <row r="34">
      <c r="A34" s="35" t="n"/>
      <c r="B34" s="35" t="n"/>
      <c r="C34" s="35" t="n"/>
      <c r="D34" s="36" t="n"/>
      <c r="E34" s="65" t="n"/>
      <c r="F34" s="71">
        <f>IF($A34="","",IF(COUNTIFS('Lançamentos'!$F$6:$F$905,Config!$D$7,'Lançamentos'!$D$6:$D$905,$A34)&gt;0,"Sim","Não"))</f>
        <v/>
      </c>
      <c r="G34" s="35">
        <f>IF($A34="","",IF($F34="Sim","Lançada",IF(DAY(TODAY())&gt;$E34,"Atrasada","A vencer dia "&amp;$E34)))</f>
        <v/>
      </c>
    </row>
    <row r="35">
      <c r="A35" s="35" t="n"/>
      <c r="B35" s="35" t="n"/>
      <c r="C35" s="35" t="n"/>
      <c r="D35" s="36" t="n"/>
      <c r="E35" s="65" t="n"/>
      <c r="F35" s="71">
        <f>IF($A35="","",IF(COUNTIFS('Lançamentos'!$F$6:$F$905,Config!$D$7,'Lançamentos'!$D$6:$D$905,$A35)&gt;0,"Sim","Não"))</f>
        <v/>
      </c>
      <c r="G35" s="35">
        <f>IF($A35="","",IF($F35="Sim","Lançada",IF(DAY(TODAY())&gt;$E35,"Atrasada","A vencer dia "&amp;$E35)))</f>
        <v/>
      </c>
    </row>
  </sheetData>
  <mergeCells count="3">
    <mergeCell ref="A3:G3"/>
    <mergeCell ref="A2:G2"/>
    <mergeCell ref="A1:G1"/>
  </mergeCells>
  <conditionalFormatting sqref="G6:G35">
    <cfRule type="expression" priority="1" dxfId="0">
      <formula>$G6="Atrasada"</formula>
    </cfRule>
    <cfRule type="expression" priority="2" dxfId="2">
      <formula>$G6="Lançada"</formula>
    </cfRule>
  </conditionalFormatting>
  <conditionalFormatting sqref="A6:E35">
    <cfRule type="expression" priority="3" dxfId="9" stopIfTrue="0">
      <formula>ISEVEN(ROW())</formula>
    </cfRule>
  </conditionalFormatting>
  <dataValidations count="2">
    <dataValidation sqref="B6:B35" showDropDown="0" showInputMessage="0" showErrorMessage="0" allowBlank="1" type="list">
      <formula1>"Despesa,Receita"</formula1>
    </dataValidation>
    <dataValidation sqref="C6:C35" showDropDown="0" showInputMessage="0" showErrorMessage="0" allowBlank="1" type="list">
      <formula1>=Config!$C$14:$C$27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C2626"/>
    <outlinePr summaryBelow="1" summaryRight="1"/>
    <pageSetUpPr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3" customWidth="1" min="5" max="5"/>
    <col width="16" customWidth="1" min="6" max="6"/>
    <col width="16" customWidth="1" min="7" max="7"/>
  </cols>
  <sheetData>
    <row r="1" ht="42" customHeight="1">
      <c r="A1" s="72" t="inlineStr">
        <is>
          <t>Finn.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73" t="inlineStr">
        <is>
          <t>Dívidas</t>
        </is>
      </c>
      <c r="B2" s="74" t="n"/>
      <c r="C2" s="74" t="n"/>
      <c r="D2" s="74" t="n"/>
      <c r="E2" s="74" t="n"/>
      <c r="F2" s="74" t="n"/>
      <c r="G2" s="74" t="n"/>
    </row>
    <row r="3" ht="18" customHeight="1">
      <c r="A3" s="75" t="inlineStr">
        <is>
          <t>Quanto falta, e em quantos meses acaba no ritmo atual.</t>
        </is>
      </c>
      <c r="B3" s="74" t="n"/>
      <c r="C3" s="74" t="n"/>
      <c r="D3" s="74" t="n"/>
      <c r="E3" s="74" t="n"/>
      <c r="F3" s="74" t="n"/>
      <c r="G3" s="74" t="n"/>
    </row>
    <row r="5" ht="26" customHeight="1">
      <c r="A5" s="27" t="inlineStr">
        <is>
          <t>Dívida</t>
        </is>
      </c>
      <c r="B5" s="27" t="inlineStr">
        <is>
          <t>Valor total</t>
        </is>
      </c>
      <c r="C5" s="27" t="inlineStr">
        <is>
          <t>Já pago</t>
        </is>
      </c>
      <c r="D5" s="27" t="inlineStr">
        <is>
          <t>Falta</t>
        </is>
      </c>
      <c r="E5" s="27" t="inlineStr">
        <is>
          <t>Juros % a.m.</t>
        </is>
      </c>
      <c r="F5" s="27" t="inlineStr">
        <is>
          <t>Parcela mensal</t>
        </is>
      </c>
      <c r="G5" s="27" t="inlineStr">
        <is>
          <t>Meses p/ quitar</t>
        </is>
      </c>
    </row>
    <row r="6">
      <c r="A6" s="35" t="n"/>
      <c r="B6" s="36" t="n"/>
      <c r="C6" s="36" t="n"/>
      <c r="D6" s="36">
        <f>IF($A6="","",MAX(0,$B6-$C6))</f>
        <v/>
      </c>
      <c r="E6" s="76" t="n"/>
      <c r="F6" s="36" t="n"/>
      <c r="G6" s="71">
        <f>IF(OR($A6="",$F6=""),"",IF($E6=0,IF($F6=0,"",ROUNDUP($D6/$F6,0)),IFERROR(ROUNDUP(NPER($E6/100,-$F6,$D6),0),"Parcela não cobre os juros")))</f>
        <v/>
      </c>
    </row>
    <row r="7">
      <c r="A7" s="35" t="n"/>
      <c r="B7" s="36" t="n"/>
      <c r="C7" s="36" t="n"/>
      <c r="D7" s="36">
        <f>IF($A7="","",MAX(0,$B7-$C7))</f>
        <v/>
      </c>
      <c r="E7" s="76" t="n"/>
      <c r="F7" s="36" t="n"/>
      <c r="G7" s="71">
        <f>IF(OR($A7="",$F7=""),"",IF($E7=0,IF($F7=0,"",ROUNDUP($D7/$F7,0)),IFERROR(ROUNDUP(NPER($E7/100,-$F7,$D7),0),"Parcela não cobre os juros")))</f>
        <v/>
      </c>
    </row>
    <row r="8">
      <c r="A8" s="35" t="n"/>
      <c r="B8" s="36" t="n"/>
      <c r="C8" s="36" t="n"/>
      <c r="D8" s="36">
        <f>IF($A8="","",MAX(0,$B8-$C8))</f>
        <v/>
      </c>
      <c r="E8" s="76" t="n"/>
      <c r="F8" s="36" t="n"/>
      <c r="G8" s="71">
        <f>IF(OR($A8="",$F8=""),"",IF($E8=0,IF($F8=0,"",ROUNDUP($D8/$F8,0)),IFERROR(ROUNDUP(NPER($E8/100,-$F8,$D8),0),"Parcela não cobre os juros")))</f>
        <v/>
      </c>
    </row>
    <row r="9">
      <c r="A9" s="35" t="n"/>
      <c r="B9" s="36" t="n"/>
      <c r="C9" s="36" t="n"/>
      <c r="D9" s="36">
        <f>IF($A9="","",MAX(0,$B9-$C9))</f>
        <v/>
      </c>
      <c r="E9" s="76" t="n"/>
      <c r="F9" s="36" t="n"/>
      <c r="G9" s="71">
        <f>IF(OR($A9="",$F9=""),"",IF($E9=0,IF($F9=0,"",ROUNDUP($D9/$F9,0)),IFERROR(ROUNDUP(NPER($E9/100,-$F9,$D9),0),"Parcela não cobre os juros")))</f>
        <v/>
      </c>
    </row>
    <row r="10">
      <c r="A10" s="35" t="n"/>
      <c r="B10" s="36" t="n"/>
      <c r="C10" s="36" t="n"/>
      <c r="D10" s="36">
        <f>IF($A10="","",MAX(0,$B10-$C10))</f>
        <v/>
      </c>
      <c r="E10" s="76" t="n"/>
      <c r="F10" s="36" t="n"/>
      <c r="G10" s="71">
        <f>IF(OR($A10="",$F10=""),"",IF($E10=0,IF($F10=0,"",ROUNDUP($D10/$F10,0)),IFERROR(ROUNDUP(NPER($E10/100,-$F10,$D10),0),"Parcela não cobre os juros")))</f>
        <v/>
      </c>
    </row>
    <row r="11">
      <c r="A11" s="35" t="n"/>
      <c r="B11" s="36" t="n"/>
      <c r="C11" s="36" t="n"/>
      <c r="D11" s="36">
        <f>IF($A11="","",MAX(0,$B11-$C11))</f>
        <v/>
      </c>
      <c r="E11" s="76" t="n"/>
      <c r="F11" s="36" t="n"/>
      <c r="G11" s="71">
        <f>IF(OR($A11="",$F11=""),"",IF($E11=0,IF($F11=0,"",ROUNDUP($D11/$F11,0)),IFERROR(ROUNDUP(NPER($E11/100,-$F11,$D11),0),"Parcela não cobre os juros")))</f>
        <v/>
      </c>
    </row>
    <row r="12">
      <c r="A12" s="35" t="n"/>
      <c r="B12" s="36" t="n"/>
      <c r="C12" s="36" t="n"/>
      <c r="D12" s="36">
        <f>IF($A12="","",MAX(0,$B12-$C12))</f>
        <v/>
      </c>
      <c r="E12" s="76" t="n"/>
      <c r="F12" s="36" t="n"/>
      <c r="G12" s="71">
        <f>IF(OR($A12="",$F12=""),"",IF($E12=0,IF($F12=0,"",ROUNDUP($D12/$F12,0)),IFERROR(ROUNDUP(NPER($E12/100,-$F12,$D12),0),"Parcela não cobre os juros")))</f>
        <v/>
      </c>
    </row>
    <row r="13">
      <c r="A13" s="35" t="n"/>
      <c r="B13" s="36" t="n"/>
      <c r="C13" s="36" t="n"/>
      <c r="D13" s="36">
        <f>IF($A13="","",MAX(0,$B13-$C13))</f>
        <v/>
      </c>
      <c r="E13" s="76" t="n"/>
      <c r="F13" s="36" t="n"/>
      <c r="G13" s="71">
        <f>IF(OR($A13="",$F13=""),"",IF($E13=0,IF($F13=0,"",ROUNDUP($D13/$F13,0)),IFERROR(ROUNDUP(NPER($E13/100,-$F13,$D13),0),"Parcela não cobre os juros")))</f>
        <v/>
      </c>
    </row>
    <row r="14">
      <c r="A14" s="35" t="n"/>
      <c r="B14" s="36" t="n"/>
      <c r="C14" s="36" t="n"/>
      <c r="D14" s="36">
        <f>IF($A14="","",MAX(0,$B14-$C14))</f>
        <v/>
      </c>
      <c r="E14" s="76" t="n"/>
      <c r="F14" s="36" t="n"/>
      <c r="G14" s="71">
        <f>IF(OR($A14="",$F14=""),"",IF($E14=0,IF($F14=0,"",ROUNDUP($D14/$F14,0)),IFERROR(ROUNDUP(NPER($E14/100,-$F14,$D14),0),"Parcela não cobre os juros")))</f>
        <v/>
      </c>
    </row>
    <row r="15">
      <c r="A15" s="35" t="n"/>
      <c r="B15" s="36" t="n"/>
      <c r="C15" s="36" t="n"/>
      <c r="D15" s="36">
        <f>IF($A15="","",MAX(0,$B15-$C15))</f>
        <v/>
      </c>
      <c r="E15" s="76" t="n"/>
      <c r="F15" s="36" t="n"/>
      <c r="G15" s="71">
        <f>IF(OR($A15="",$F15=""),"",IF($E15=0,IF($F15=0,"",ROUNDUP($D15/$F15,0)),IFERROR(ROUNDUP(NPER($E15/100,-$F15,$D15),0),"Parcela não cobre os juros")))</f>
        <v/>
      </c>
    </row>
    <row r="16">
      <c r="A16" s="35" t="n"/>
      <c r="B16" s="36" t="n"/>
      <c r="C16" s="36" t="n"/>
      <c r="D16" s="36">
        <f>IF($A16="","",MAX(0,$B16-$C16))</f>
        <v/>
      </c>
      <c r="E16" s="76" t="n"/>
      <c r="F16" s="36" t="n"/>
      <c r="G16" s="71">
        <f>IF(OR($A16="",$F16=""),"",IF($E16=0,IF($F16=0,"",ROUNDUP($D16/$F16,0)),IFERROR(ROUNDUP(NPER($E16/100,-$F16,$D16),0),"Parcela não cobre os juros")))</f>
        <v/>
      </c>
    </row>
    <row r="17">
      <c r="A17" s="35" t="n"/>
      <c r="B17" s="36" t="n"/>
      <c r="C17" s="36" t="n"/>
      <c r="D17" s="36">
        <f>IF($A17="","",MAX(0,$B17-$C17))</f>
        <v/>
      </c>
      <c r="E17" s="76" t="n"/>
      <c r="F17" s="36" t="n"/>
      <c r="G17" s="71">
        <f>IF(OR($A17="",$F17=""),"",IF($E17=0,IF($F17=0,"",ROUNDUP($D17/$F17,0)),IFERROR(ROUNDUP(NPER($E17/100,-$F17,$D17),0),"Parcela não cobre os juros")))</f>
        <v/>
      </c>
    </row>
    <row r="18">
      <c r="A18" s="35" t="n"/>
      <c r="B18" s="36" t="n"/>
      <c r="C18" s="36" t="n"/>
      <c r="D18" s="36">
        <f>IF($A18="","",MAX(0,$B18-$C18))</f>
        <v/>
      </c>
      <c r="E18" s="76" t="n"/>
      <c r="F18" s="36" t="n"/>
      <c r="G18" s="71">
        <f>IF(OR($A18="",$F18=""),"",IF($E18=0,IF($F18=0,"",ROUNDUP($D18/$F18,0)),IFERROR(ROUNDUP(NPER($E18/100,-$F18,$D18),0),"Parcela não cobre os juros")))</f>
        <v/>
      </c>
    </row>
    <row r="19">
      <c r="A19" s="35" t="n"/>
      <c r="B19" s="36" t="n"/>
      <c r="C19" s="36" t="n"/>
      <c r="D19" s="36">
        <f>IF($A19="","",MAX(0,$B19-$C19))</f>
        <v/>
      </c>
      <c r="E19" s="76" t="n"/>
      <c r="F19" s="36" t="n"/>
      <c r="G19" s="71">
        <f>IF(OR($A19="",$F19=""),"",IF($E19=0,IF($F19=0,"",ROUNDUP($D19/$F19,0)),IFERROR(ROUNDUP(NPER($E19/100,-$F19,$D19),0),"Parcela não cobre os juros")))</f>
        <v/>
      </c>
    </row>
    <row r="20">
      <c r="A20" s="35" t="n"/>
      <c r="B20" s="36" t="n"/>
      <c r="C20" s="36" t="n"/>
      <c r="D20" s="36">
        <f>IF($A20="","",MAX(0,$B20-$C20))</f>
        <v/>
      </c>
      <c r="E20" s="76" t="n"/>
      <c r="F20" s="36" t="n"/>
      <c r="G20" s="71">
        <f>IF(OR($A20="",$F20=""),"",IF($E20=0,IF($F20=0,"",ROUNDUP($D20/$F20,0)),IFERROR(ROUNDUP(NPER($E20/100,-$F20,$D20),0),"Parcela não cobre os juros")))</f>
        <v/>
      </c>
    </row>
    <row r="21">
      <c r="A21" s="35" t="n"/>
      <c r="B21" s="36" t="n"/>
      <c r="C21" s="36" t="n"/>
      <c r="D21" s="36">
        <f>IF($A21="","",MAX(0,$B21-$C21))</f>
        <v/>
      </c>
      <c r="E21" s="76" t="n"/>
      <c r="F21" s="36" t="n"/>
      <c r="G21" s="71">
        <f>IF(OR($A21="",$F21=""),"",IF($E21=0,IF($F21=0,"",ROUNDUP($D21/$F21,0)),IFERROR(ROUNDUP(NPER($E21/100,-$F21,$D21),0),"Parcela não cobre os juros")))</f>
        <v/>
      </c>
    </row>
    <row r="22">
      <c r="A22" s="35" t="n"/>
      <c r="B22" s="36" t="n"/>
      <c r="C22" s="36" t="n"/>
      <c r="D22" s="36">
        <f>IF($A22="","",MAX(0,$B22-$C22))</f>
        <v/>
      </c>
      <c r="E22" s="76" t="n"/>
      <c r="F22" s="36" t="n"/>
      <c r="G22" s="71">
        <f>IF(OR($A22="",$F22=""),"",IF($E22=0,IF($F22=0,"",ROUNDUP($D22/$F22,0)),IFERROR(ROUNDUP(NPER($E22/100,-$F22,$D22),0),"Parcela não cobre os juros")))</f>
        <v/>
      </c>
    </row>
    <row r="23">
      <c r="A23" s="35" t="n"/>
      <c r="B23" s="36" t="n"/>
      <c r="C23" s="36" t="n"/>
      <c r="D23" s="36">
        <f>IF($A23="","",MAX(0,$B23-$C23))</f>
        <v/>
      </c>
      <c r="E23" s="76" t="n"/>
      <c r="F23" s="36" t="n"/>
      <c r="G23" s="71">
        <f>IF(OR($A23="",$F23=""),"",IF($E23=0,IF($F23=0,"",ROUNDUP($D23/$F23,0)),IFERROR(ROUNDUP(NPER($E23/100,-$F23,$D23),0),"Parcela não cobre os juros")))</f>
        <v/>
      </c>
    </row>
    <row r="24">
      <c r="A24" s="35" t="n"/>
      <c r="B24" s="36" t="n"/>
      <c r="C24" s="36" t="n"/>
      <c r="D24" s="36">
        <f>IF($A24="","",MAX(0,$B24-$C24))</f>
        <v/>
      </c>
      <c r="E24" s="76" t="n"/>
      <c r="F24" s="36" t="n"/>
      <c r="G24" s="71">
        <f>IF(OR($A24="",$F24=""),"",IF($E24=0,IF($F24=0,"",ROUNDUP($D24/$F24,0)),IFERROR(ROUNDUP(NPER($E24/100,-$F24,$D24),0),"Parcela não cobre os juros")))</f>
        <v/>
      </c>
    </row>
    <row r="25">
      <c r="A25" s="35" t="n"/>
      <c r="B25" s="36" t="n"/>
      <c r="C25" s="36" t="n"/>
      <c r="D25" s="36">
        <f>IF($A25="","",MAX(0,$B25-$C25))</f>
        <v/>
      </c>
      <c r="E25" s="76" t="n"/>
      <c r="F25" s="36" t="n"/>
      <c r="G25" s="71">
        <f>IF(OR($A25="",$F25=""),"",IF($E25=0,IF($F25=0,"",ROUNDUP($D25/$F25,0)),IFERROR(ROUNDUP(NPER($E25/100,-$F25,$D25),0),"Parcela não cobre os juros")))</f>
        <v/>
      </c>
    </row>
    <row r="28">
      <c r="A28" s="77" t="inlineStr">
        <is>
          <t>Total que ainda falta pagar:</t>
        </is>
      </c>
      <c r="D28" s="78">
        <f>SUM(D6:D25)</f>
        <v/>
      </c>
    </row>
  </sheetData>
  <mergeCells count="3">
    <mergeCell ref="A3:G3"/>
    <mergeCell ref="A2:G2"/>
    <mergeCell ref="A1:G1"/>
  </mergeCells>
  <conditionalFormatting sqref="A6:G25">
    <cfRule type="expression" priority="1" dxfId="10" stopIfTrue="0">
      <formula>ISEVEN(ROW())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891B2"/>
    <outlinePr summaryBelow="1" summaryRight="1"/>
    <pageSetUpPr/>
  </sheetPr>
  <dimension ref="A1:F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5" customWidth="1" min="3" max="3"/>
    <col width="14" customWidth="1" min="4" max="4"/>
    <col width="16" customWidth="1" min="5" max="5"/>
    <col width="30" customWidth="1" min="6" max="6"/>
  </cols>
  <sheetData>
    <row r="1" ht="42" customHeight="1">
      <c r="A1" s="79" t="inlineStr">
        <is>
          <t>Finn.</t>
        </is>
      </c>
      <c r="B1" s="2" t="n"/>
      <c r="C1" s="2" t="n"/>
      <c r="D1" s="2" t="n"/>
      <c r="E1" s="2" t="n"/>
      <c r="F1" s="2" t="n"/>
    </row>
    <row r="2" ht="24" customHeight="1">
      <c r="A2" s="80" t="inlineStr">
        <is>
          <t>Racha de contas</t>
        </is>
      </c>
      <c r="B2" s="81" t="n"/>
      <c r="C2" s="81" t="n"/>
      <c r="D2" s="81" t="n"/>
      <c r="E2" s="81" t="n"/>
      <c r="F2" s="81" t="n"/>
    </row>
    <row r="3" ht="18" customHeight="1">
      <c r="A3" s="82" t="inlineStr">
        <is>
          <t>Dividiu com alguém? Registre aqui quanto cada um deve.</t>
        </is>
      </c>
      <c r="B3" s="81" t="n"/>
      <c r="C3" s="81" t="n"/>
      <c r="D3" s="81" t="n"/>
      <c r="E3" s="81" t="n"/>
      <c r="F3" s="81" t="n"/>
    </row>
    <row r="5" ht="26" customHeight="1">
      <c r="A5" s="27" t="inlineStr">
        <is>
          <t>Data</t>
        </is>
      </c>
      <c r="B5" s="27" t="inlineStr">
        <is>
          <t>Descrição</t>
        </is>
      </c>
      <c r="C5" s="27" t="inlineStr">
        <is>
          <t>Valor total</t>
        </is>
      </c>
      <c r="D5" s="27" t="inlineStr">
        <is>
          <t>Nº de pessoas</t>
        </is>
      </c>
      <c r="E5" s="27" t="inlineStr">
        <is>
          <t>Cada um paga</t>
        </is>
      </c>
      <c r="F5" s="27" t="inlineStr">
        <is>
          <t>Quem já pagou</t>
        </is>
      </c>
    </row>
    <row r="6">
      <c r="A6" s="34" t="n"/>
      <c r="B6" s="35" t="n"/>
      <c r="C6" s="36" t="n"/>
      <c r="D6" s="65" t="n"/>
      <c r="E6" s="83">
        <f>IFERROR(IF($B6="","",$C6/$D6),"")</f>
        <v/>
      </c>
      <c r="F6" s="35" t="n"/>
    </row>
    <row r="7">
      <c r="A7" s="34" t="n"/>
      <c r="B7" s="35" t="n"/>
      <c r="C7" s="36" t="n"/>
      <c r="D7" s="65" t="n"/>
      <c r="E7" s="83">
        <f>IFERROR(IF($B7="","",$C7/$D7),"")</f>
        <v/>
      </c>
      <c r="F7" s="35" t="n"/>
    </row>
    <row r="8">
      <c r="A8" s="34" t="n"/>
      <c r="B8" s="35" t="n"/>
      <c r="C8" s="36" t="n"/>
      <c r="D8" s="65" t="n"/>
      <c r="E8" s="83">
        <f>IFERROR(IF($B8="","",$C8/$D8),"")</f>
        <v/>
      </c>
      <c r="F8" s="35" t="n"/>
    </row>
    <row r="9">
      <c r="A9" s="34" t="n"/>
      <c r="B9" s="35" t="n"/>
      <c r="C9" s="36" t="n"/>
      <c r="D9" s="65" t="n"/>
      <c r="E9" s="83">
        <f>IFERROR(IF($B9="","",$C9/$D9),"")</f>
        <v/>
      </c>
      <c r="F9" s="35" t="n"/>
    </row>
    <row r="10">
      <c r="A10" s="34" t="n"/>
      <c r="B10" s="35" t="n"/>
      <c r="C10" s="36" t="n"/>
      <c r="D10" s="65" t="n"/>
      <c r="E10" s="83">
        <f>IFERROR(IF($B10="","",$C10/$D10),"")</f>
        <v/>
      </c>
      <c r="F10" s="35" t="n"/>
    </row>
    <row r="11">
      <c r="A11" s="34" t="n"/>
      <c r="B11" s="35" t="n"/>
      <c r="C11" s="36" t="n"/>
      <c r="D11" s="65" t="n"/>
      <c r="E11" s="83">
        <f>IFERROR(IF($B11="","",$C11/$D11),"")</f>
        <v/>
      </c>
      <c r="F11" s="35" t="n"/>
    </row>
    <row r="12">
      <c r="A12" s="34" t="n"/>
      <c r="B12" s="35" t="n"/>
      <c r="C12" s="36" t="n"/>
      <c r="D12" s="65" t="n"/>
      <c r="E12" s="83">
        <f>IFERROR(IF($B12="","",$C12/$D12),"")</f>
        <v/>
      </c>
      <c r="F12" s="35" t="n"/>
    </row>
    <row r="13">
      <c r="A13" s="34" t="n"/>
      <c r="B13" s="35" t="n"/>
      <c r="C13" s="36" t="n"/>
      <c r="D13" s="65" t="n"/>
      <c r="E13" s="83">
        <f>IFERROR(IF($B13="","",$C13/$D13),"")</f>
        <v/>
      </c>
      <c r="F13" s="35" t="n"/>
    </row>
    <row r="14">
      <c r="A14" s="34" t="n"/>
      <c r="B14" s="35" t="n"/>
      <c r="C14" s="36" t="n"/>
      <c r="D14" s="65" t="n"/>
      <c r="E14" s="83">
        <f>IFERROR(IF($B14="","",$C14/$D14),"")</f>
        <v/>
      </c>
      <c r="F14" s="35" t="n"/>
    </row>
    <row r="15">
      <c r="A15" s="34" t="n"/>
      <c r="B15" s="35" t="n"/>
      <c r="C15" s="36" t="n"/>
      <c r="D15" s="65" t="n"/>
      <c r="E15" s="83">
        <f>IFERROR(IF($B15="","",$C15/$D15),"")</f>
        <v/>
      </c>
      <c r="F15" s="35" t="n"/>
    </row>
    <row r="16">
      <c r="A16" s="34" t="n"/>
      <c r="B16" s="35" t="n"/>
      <c r="C16" s="36" t="n"/>
      <c r="D16" s="65" t="n"/>
      <c r="E16" s="83">
        <f>IFERROR(IF($B16="","",$C16/$D16),"")</f>
        <v/>
      </c>
      <c r="F16" s="35" t="n"/>
    </row>
    <row r="17">
      <c r="A17" s="34" t="n"/>
      <c r="B17" s="35" t="n"/>
      <c r="C17" s="36" t="n"/>
      <c r="D17" s="65" t="n"/>
      <c r="E17" s="83">
        <f>IFERROR(IF($B17="","",$C17/$D17),"")</f>
        <v/>
      </c>
      <c r="F17" s="35" t="n"/>
    </row>
    <row r="18">
      <c r="A18" s="34" t="n"/>
      <c r="B18" s="35" t="n"/>
      <c r="C18" s="36" t="n"/>
      <c r="D18" s="65" t="n"/>
      <c r="E18" s="83">
        <f>IFERROR(IF($B18="","",$C18/$D18),"")</f>
        <v/>
      </c>
      <c r="F18" s="35" t="n"/>
    </row>
    <row r="19">
      <c r="A19" s="34" t="n"/>
      <c r="B19" s="35" t="n"/>
      <c r="C19" s="36" t="n"/>
      <c r="D19" s="65" t="n"/>
      <c r="E19" s="83">
        <f>IFERROR(IF($B19="","",$C19/$D19),"")</f>
        <v/>
      </c>
      <c r="F19" s="35" t="n"/>
    </row>
    <row r="20">
      <c r="A20" s="34" t="n"/>
      <c r="B20" s="35" t="n"/>
      <c r="C20" s="36" t="n"/>
      <c r="D20" s="65" t="n"/>
      <c r="E20" s="83">
        <f>IFERROR(IF($B20="","",$C20/$D20),"")</f>
        <v/>
      </c>
      <c r="F20" s="35" t="n"/>
    </row>
    <row r="21">
      <c r="A21" s="34" t="n"/>
      <c r="B21" s="35" t="n"/>
      <c r="C21" s="36" t="n"/>
      <c r="D21" s="65" t="n"/>
      <c r="E21" s="83">
        <f>IFERROR(IF($B21="","",$C21/$D21),"")</f>
        <v/>
      </c>
      <c r="F21" s="35" t="n"/>
    </row>
    <row r="22">
      <c r="A22" s="34" t="n"/>
      <c r="B22" s="35" t="n"/>
      <c r="C22" s="36" t="n"/>
      <c r="D22" s="65" t="n"/>
      <c r="E22" s="83">
        <f>IFERROR(IF($B22="","",$C22/$D22),"")</f>
        <v/>
      </c>
      <c r="F22" s="35" t="n"/>
    </row>
    <row r="23">
      <c r="A23" s="34" t="n"/>
      <c r="B23" s="35" t="n"/>
      <c r="C23" s="36" t="n"/>
      <c r="D23" s="65" t="n"/>
      <c r="E23" s="83">
        <f>IFERROR(IF($B23="","",$C23/$D23),"")</f>
        <v/>
      </c>
      <c r="F23" s="35" t="n"/>
    </row>
    <row r="24">
      <c r="A24" s="34" t="n"/>
      <c r="B24" s="35" t="n"/>
      <c r="C24" s="36" t="n"/>
      <c r="D24" s="65" t="n"/>
      <c r="E24" s="83">
        <f>IFERROR(IF($B24="","",$C24/$D24),"")</f>
        <v/>
      </c>
      <c r="F24" s="35" t="n"/>
    </row>
    <row r="25">
      <c r="A25" s="34" t="n"/>
      <c r="B25" s="35" t="n"/>
      <c r="C25" s="36" t="n"/>
      <c r="D25" s="65" t="n"/>
      <c r="E25" s="83">
        <f>IFERROR(IF($B25="","",$C25/$D25),"")</f>
        <v/>
      </c>
      <c r="F25" s="35" t="n"/>
    </row>
    <row r="26">
      <c r="A26" s="34" t="n"/>
      <c r="B26" s="35" t="n"/>
      <c r="C26" s="36" t="n"/>
      <c r="D26" s="65" t="n"/>
      <c r="E26" s="83">
        <f>IFERROR(IF($B26="","",$C26/$D26),"")</f>
        <v/>
      </c>
      <c r="F26" s="35" t="n"/>
    </row>
    <row r="27">
      <c r="A27" s="34" t="n"/>
      <c r="B27" s="35" t="n"/>
      <c r="C27" s="36" t="n"/>
      <c r="D27" s="65" t="n"/>
      <c r="E27" s="83">
        <f>IFERROR(IF($B27="","",$C27/$D27),"")</f>
        <v/>
      </c>
      <c r="F27" s="35" t="n"/>
    </row>
    <row r="28">
      <c r="A28" s="34" t="n"/>
      <c r="B28" s="35" t="n"/>
      <c r="C28" s="36" t="n"/>
      <c r="D28" s="65" t="n"/>
      <c r="E28" s="83">
        <f>IFERROR(IF($B28="","",$C28/$D28),"")</f>
        <v/>
      </c>
      <c r="F28" s="35" t="n"/>
    </row>
    <row r="29">
      <c r="A29" s="34" t="n"/>
      <c r="B29" s="35" t="n"/>
      <c r="C29" s="36" t="n"/>
      <c r="D29" s="65" t="n"/>
      <c r="E29" s="83">
        <f>IFERROR(IF($B29="","",$C29/$D29),"")</f>
        <v/>
      </c>
      <c r="F29" s="35" t="n"/>
    </row>
    <row r="30">
      <c r="A30" s="34" t="n"/>
      <c r="B30" s="35" t="n"/>
      <c r="C30" s="36" t="n"/>
      <c r="D30" s="65" t="n"/>
      <c r="E30" s="83">
        <f>IFERROR(IF($B30="","",$C30/$D30),"")</f>
        <v/>
      </c>
      <c r="F30" s="35" t="n"/>
    </row>
    <row r="31">
      <c r="A31" s="34" t="n"/>
      <c r="B31" s="35" t="n"/>
      <c r="C31" s="36" t="n"/>
      <c r="D31" s="65" t="n"/>
      <c r="E31" s="83">
        <f>IFERROR(IF($B31="","",$C31/$D31),"")</f>
        <v/>
      </c>
      <c r="F31" s="35" t="n"/>
    </row>
    <row r="32">
      <c r="A32" s="34" t="n"/>
      <c r="B32" s="35" t="n"/>
      <c r="C32" s="36" t="n"/>
      <c r="D32" s="65" t="n"/>
      <c r="E32" s="83">
        <f>IFERROR(IF($B32="","",$C32/$D32),"")</f>
        <v/>
      </c>
      <c r="F32" s="35" t="n"/>
    </row>
    <row r="33">
      <c r="A33" s="34" t="n"/>
      <c r="B33" s="35" t="n"/>
      <c r="C33" s="36" t="n"/>
      <c r="D33" s="65" t="n"/>
      <c r="E33" s="83">
        <f>IFERROR(IF($B33="","",$C33/$D33),"")</f>
        <v/>
      </c>
      <c r="F33" s="35" t="n"/>
    </row>
    <row r="34">
      <c r="A34" s="34" t="n"/>
      <c r="B34" s="35" t="n"/>
      <c r="C34" s="36" t="n"/>
      <c r="D34" s="65" t="n"/>
      <c r="E34" s="83">
        <f>IFERROR(IF($B34="","",$C34/$D34),"")</f>
        <v/>
      </c>
      <c r="F34" s="35" t="n"/>
    </row>
    <row r="35">
      <c r="A35" s="34" t="n"/>
      <c r="B35" s="35" t="n"/>
      <c r="C35" s="36" t="n"/>
      <c r="D35" s="65" t="n"/>
      <c r="E35" s="83">
        <f>IFERROR(IF($B35="","",$C35/$D35),"")</f>
        <v/>
      </c>
      <c r="F35" s="35" t="n"/>
    </row>
  </sheetData>
  <mergeCells count="3">
    <mergeCell ref="A3:F3"/>
    <mergeCell ref="A2:F2"/>
    <mergeCell ref="A1:F1"/>
  </mergeCells>
  <conditionalFormatting sqref="A6:F35">
    <cfRule type="expression" priority="1" dxfId="11" stopIfTrue="0">
      <formula>ISEVEN(ROW())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4748B"/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4" customWidth="1" min="4" max="4"/>
    <col width="16" customWidth="1" min="5" max="5"/>
    <col width="14" customWidth="1" min="6" max="6"/>
    <col width="14" customWidth="1" min="7" max="7"/>
  </cols>
  <sheetData>
    <row r="1" ht="42" customHeight="1">
      <c r="A1" s="1" t="inlineStr">
        <is>
          <t>Finn.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3" t="inlineStr">
        <is>
          <t>Configuração</t>
        </is>
      </c>
      <c r="B2" s="4" t="n"/>
      <c r="C2" s="4" t="n"/>
      <c r="D2" s="4" t="n"/>
      <c r="E2" s="4" t="n"/>
      <c r="F2" s="4" t="n"/>
      <c r="G2" s="4" t="n"/>
    </row>
    <row r="3" ht="18" customHeight="1">
      <c r="A3" s="5" t="inlineStr">
        <is>
          <t>Mês de referência, categorias e conexão com o app Finn.</t>
        </is>
      </c>
      <c r="B3" s="4" t="n"/>
      <c r="C3" s="4" t="n"/>
      <c r="D3" s="4" t="n"/>
      <c r="E3" s="4" t="n"/>
      <c r="F3" s="4" t="n"/>
      <c r="G3" s="4" t="n"/>
    </row>
    <row r="5">
      <c r="A5" s="84" t="inlineStr">
        <is>
          <t>MÊS DE REFERÊNCIA</t>
        </is>
      </c>
    </row>
    <row r="6">
      <c r="A6" s="85" t="inlineStr">
        <is>
          <t>Mês exibido no Início, Limites e Contas fixas:</t>
        </is>
      </c>
      <c r="D6" s="86" t="n">
        <v>46235</v>
      </c>
      <c r="E6" s="7" t="inlineStr">
        <is>
          <t>← troque aqui</t>
        </is>
      </c>
    </row>
    <row r="7">
      <c r="C7" s="87" t="inlineStr">
        <is>
          <t>chave (não mexer):</t>
        </is>
      </c>
      <c r="D7" s="88">
        <f>TEXT(D6,"yyyy-mm")</f>
        <v/>
      </c>
    </row>
    <row r="8">
      <c r="C8" s="87" t="inlineStr">
        <is>
          <t>mês anterior:</t>
        </is>
      </c>
      <c r="D8" s="88">
        <f>TEXT(EDATE(D6,-1),"yyyy-mm")</f>
        <v/>
      </c>
    </row>
    <row r="11">
      <c r="A11" s="84" t="inlineStr">
        <is>
          <t>CATEGORIAS</t>
        </is>
      </c>
    </row>
    <row r="12">
      <c r="A12" s="39" t="inlineStr">
        <is>
          <t>Edite à vontade — as listas suspensas da aba Lançamentos seguem daqui.</t>
        </is>
      </c>
    </row>
    <row r="13" ht="26" customHeight="1">
      <c r="A13" s="27" t="inlineStr">
        <is>
          <t>Despesa</t>
        </is>
      </c>
      <c r="B13" s="27" t="inlineStr">
        <is>
          <t>Receita</t>
        </is>
      </c>
      <c r="C13" s="27" t="inlineStr">
        <is>
          <t>Todas (não editar)</t>
        </is>
      </c>
    </row>
    <row r="14">
      <c r="A14" s="28" t="inlineStr">
        <is>
          <t>Alimentação</t>
        </is>
      </c>
      <c r="B14" s="28" t="inlineStr">
        <is>
          <t>Salário</t>
        </is>
      </c>
      <c r="C14" s="89" t="inlineStr">
        <is>
          <t>Alimentação</t>
        </is>
      </c>
    </row>
    <row r="15">
      <c r="A15" s="28" t="inlineStr">
        <is>
          <t>Transporte</t>
        </is>
      </c>
      <c r="B15" s="28" t="inlineStr">
        <is>
          <t>Freelance</t>
        </is>
      </c>
      <c r="C15" s="89" t="inlineStr">
        <is>
          <t>Transporte</t>
        </is>
      </c>
    </row>
    <row r="16">
      <c r="A16" s="28" t="inlineStr">
        <is>
          <t>Moradia</t>
        </is>
      </c>
      <c r="B16" s="28" t="inlineStr">
        <is>
          <t>Aluguel</t>
        </is>
      </c>
      <c r="C16" s="89" t="inlineStr">
        <is>
          <t>Moradia</t>
        </is>
      </c>
    </row>
    <row r="17">
      <c r="A17" s="28" t="inlineStr">
        <is>
          <t>Saúde</t>
        </is>
      </c>
      <c r="B17" s="28" t="inlineStr">
        <is>
          <t>Venda</t>
        </is>
      </c>
      <c r="C17" s="89" t="inlineStr">
        <is>
          <t>Saúde</t>
        </is>
      </c>
    </row>
    <row r="18">
      <c r="A18" s="28" t="inlineStr">
        <is>
          <t>Educação</t>
        </is>
      </c>
      <c r="B18" s="28" t="inlineStr">
        <is>
          <t>Bônus</t>
        </is>
      </c>
      <c r="C18" s="89" t="inlineStr">
        <is>
          <t>Educação</t>
        </is>
      </c>
    </row>
    <row r="19">
      <c r="A19" s="28" t="inlineStr">
        <is>
          <t>Lazer</t>
        </is>
      </c>
      <c r="B19" s="28" t="inlineStr">
        <is>
          <t>Investimento</t>
        </is>
      </c>
      <c r="C19" s="89" t="inlineStr">
        <is>
          <t>Lazer</t>
        </is>
      </c>
    </row>
    <row r="20">
      <c r="A20" s="28" t="inlineStr">
        <is>
          <t>Vestuário</t>
        </is>
      </c>
      <c r="B20" s="28" t="inlineStr">
        <is>
          <t>Outros</t>
        </is>
      </c>
      <c r="C20" s="89" t="inlineStr">
        <is>
          <t>Vestuário</t>
        </is>
      </c>
    </row>
    <row r="21">
      <c r="A21" s="28" t="inlineStr">
        <is>
          <t>Outros</t>
        </is>
      </c>
      <c r="C21" s="89" t="inlineStr">
        <is>
          <t>Salário</t>
        </is>
      </c>
    </row>
    <row r="22">
      <c r="C22" s="89" t="inlineStr">
        <is>
          <t>Freelance</t>
        </is>
      </c>
    </row>
    <row r="23">
      <c r="C23" s="89" t="inlineStr">
        <is>
          <t>Aluguel</t>
        </is>
      </c>
    </row>
    <row r="24">
      <c r="C24" s="89" t="inlineStr">
        <is>
          <t>Venda</t>
        </is>
      </c>
    </row>
    <row r="25">
      <c r="C25" s="89" t="inlineStr">
        <is>
          <t>Bônus</t>
        </is>
      </c>
    </row>
    <row r="26">
      <c r="C26" s="89" t="inlineStr">
        <is>
          <t>Investimento</t>
        </is>
      </c>
    </row>
    <row r="27">
      <c r="C27" s="89" t="inlineStr">
        <is>
          <t>Outros</t>
        </is>
      </c>
    </row>
    <row r="32">
      <c r="A32" s="84" t="inlineStr">
        <is>
          <t>CONEXÃO COM O APP FINN (opcional)</t>
        </is>
      </c>
    </row>
    <row r="33">
      <c r="A33" s="39" t="inlineStr">
        <is>
          <t>A planilha funciona 100% sozinha. Preencha abaixo só se você também usa o app Finn e quer que os lançamentos apareçam nos dois.</t>
        </is>
      </c>
    </row>
    <row r="35">
      <c r="A35" s="90" t="inlineStr">
        <is>
          <t>Token da planilha</t>
        </is>
      </c>
      <c r="C35" s="91" t="inlineStr"/>
      <c r="D35" s="7" t="inlineStr">
        <is>
          <t>← cole aqui (Finn → Configurações → Conectar planilha)</t>
        </is>
      </c>
    </row>
    <row r="36">
      <c r="A36" s="90" t="inlineStr">
        <is>
          <t>Última sincronização</t>
        </is>
      </c>
      <c r="C36" s="92" t="inlineStr"/>
    </row>
    <row r="38">
      <c r="A38" s="7" t="inlineStr">
        <is>
          <t>Sem token preenchido, o menu Finn → Sincronizar apenas avisa e não faz nada.</t>
        </is>
      </c>
    </row>
  </sheetData>
  <mergeCells count="3">
    <mergeCell ref="A3:G3"/>
    <mergeCell ref="A2:G2"/>
    <mergeCell ref="A1:G1"/>
  </mergeCells>
  <conditionalFormatting sqref="A14:C27">
    <cfRule type="expression" priority="1" dxfId="12" stopIfTrue="0">
      <formula>ISEVEN(ROW())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2026-08-16T18:56:58Z</dcterms:created>
  <dcterms:modified xsi:type="dcterms:W3CDTF">2026-08-16T18:56:58Z</dcterms:modified>
</cp:coreProperties>
</file>